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Processed Data" sheetId="1" r:id="rId4"/>
    <sheet state="visible" name="P1_SRC" sheetId="2" r:id="rId5"/>
    <sheet state="visible" name="P1_SRI" sheetId="3" r:id="rId6"/>
    <sheet state="visible" name="P2_SRC" sheetId="4" r:id="rId7"/>
    <sheet state="visible" name="P2_SRI" sheetId="5" r:id="rId8"/>
    <sheet state="visible" name="P3_SRC" sheetId="6" r:id="rId9"/>
    <sheet state="visible" name="P3_SRI" sheetId="7" r:id="rId10"/>
    <sheet state="visible" name="P4_SRC" sheetId="8" r:id="rId11"/>
    <sheet state="visible" name="P4_SR1" sheetId="9" r:id="rId12"/>
    <sheet state="visible" name="P5_SRC" sheetId="10" r:id="rId13"/>
    <sheet state="visible" name="P5_SRI" sheetId="11" r:id="rId14"/>
  </sheets>
  <definedNames>
    <definedName hidden="1" localSheetId="1" name="_xlnm._FilterDatabase">P1_SRC!$A$1:$P$120</definedName>
    <definedName hidden="1" localSheetId="2" name="_xlnm._FilterDatabase">P1_SRI!$A$1:$F$115</definedName>
    <definedName hidden="1" localSheetId="3" name="_xlnm._FilterDatabase">P2_SRC!$A$1:$F$120</definedName>
    <definedName hidden="1" localSheetId="4" name="_xlnm._FilterDatabase">P2_SRI!$A$1:$F$992</definedName>
    <definedName hidden="1" localSheetId="5" name="_xlnm._FilterDatabase">P3_SRC!$A$1:$F$113</definedName>
    <definedName hidden="1" localSheetId="6" name="_xlnm._FilterDatabase">P3_SRI!$A$1:$F$112</definedName>
    <definedName hidden="1" localSheetId="7" name="_xlnm._FilterDatabase">P4_SRC!$A$1:$F$114</definedName>
    <definedName hidden="1" localSheetId="8" name="_xlnm._FilterDatabase">P4_SR1!$A$1:$F$107</definedName>
    <definedName hidden="1" localSheetId="9" name="_xlnm._FilterDatabase">P5_SRC!$A$1:$F$114</definedName>
    <definedName hidden="1" localSheetId="10" name="_xlnm._FilterDatabase">P5_SRI!$A$1:$F$109</definedName>
  </definedNames>
  <calcPr/>
</workbook>
</file>

<file path=xl/sharedStrings.xml><?xml version="1.0" encoding="utf-8"?>
<sst xmlns="http://schemas.openxmlformats.org/spreadsheetml/2006/main" count="4812" uniqueCount="41">
  <si>
    <t>Participant</t>
  </si>
  <si>
    <t>SR Compatible</t>
  </si>
  <si>
    <t>SR Incompatible</t>
  </si>
  <si>
    <t>Avg. Congruent RT</t>
  </si>
  <si>
    <t>Avg. Incongruent RT</t>
  </si>
  <si>
    <t>Congruent Accuracy</t>
  </si>
  <si>
    <t>Incongruent Accuracy</t>
  </si>
  <si>
    <t>P1</t>
  </si>
  <si>
    <t>P2</t>
  </si>
  <si>
    <t>P3</t>
  </si>
  <si>
    <t>P4</t>
  </si>
  <si>
    <t>P5</t>
  </si>
  <si>
    <t>Stimuli 1</t>
  </si>
  <si>
    <t>Stimuli 2</t>
  </si>
  <si>
    <t>ss_compat</t>
  </si>
  <si>
    <t>sr_compat</t>
  </si>
  <si>
    <t>key_resp_2.corr</t>
  </si>
  <si>
    <t>key_resp_2.rt</t>
  </si>
  <si>
    <t>m</t>
  </si>
  <si>
    <t>C</t>
  </si>
  <si>
    <t>RT</t>
  </si>
  <si>
    <t>No. of inaccurate</t>
  </si>
  <si>
    <t>All congruent</t>
  </si>
  <si>
    <t>M congruent</t>
  </si>
  <si>
    <t>F congruent</t>
  </si>
  <si>
    <t>All incongruent</t>
  </si>
  <si>
    <t>M+F incongruent</t>
  </si>
  <si>
    <t>F+M incongruent</t>
  </si>
  <si>
    <t>M Target</t>
  </si>
  <si>
    <t>F Target</t>
  </si>
  <si>
    <t>M Prime</t>
  </si>
  <si>
    <t>F Prime</t>
  </si>
  <si>
    <t>Accuracy</t>
  </si>
  <si>
    <t>n</t>
  </si>
  <si>
    <t>I</t>
  </si>
  <si>
    <t>Reaction time</t>
  </si>
  <si>
    <t>No. of accurate</t>
  </si>
  <si>
    <t>n = male</t>
  </si>
  <si>
    <t xml:space="preserve">m = female </t>
  </si>
  <si>
    <t>n = female</t>
  </si>
  <si>
    <t>m = 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</si>
</sst>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vertical="bottom"/>
    </xf>
    <xf borderId="5" fillId="0" fontId="2" numFmtId="0" xfId="0" applyBorder="1" applyFont="1"/>
    <xf borderId="6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9" fillId="0" fontId="3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38"/>
    <col customWidth="1" min="4" max="4" width="17.0"/>
    <col customWidth="1" min="5" max="5" width="17.38"/>
    <col customWidth="1" min="6" max="6" width="16.88"/>
    <col customWidth="1" min="7" max="7" width="17.75"/>
    <col customWidth="1" min="8" max="8" width="17.0"/>
    <col customWidth="1" min="9" max="9" width="18.5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5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3</v>
      </c>
      <c r="G2" s="7" t="s">
        <v>4</v>
      </c>
      <c r="H2" s="7" t="s">
        <v>5</v>
      </c>
      <c r="I2" s="7" t="s">
        <v>6</v>
      </c>
      <c r="J2" s="8"/>
    </row>
    <row r="3">
      <c r="A3" s="9" t="s">
        <v>7</v>
      </c>
      <c r="B3" s="10">
        <f>P1_SRC!J4</f>
        <v>0.9290425763</v>
      </c>
      <c r="C3" s="11">
        <f>P1_SRC!J7</f>
        <v>0.7882491333</v>
      </c>
      <c r="D3" s="12">
        <f>P1_SRC!J16</f>
        <v>98.33333333</v>
      </c>
      <c r="E3" s="13">
        <f>100</f>
        <v>100</v>
      </c>
      <c r="F3" s="10">
        <f>P1_SRI!J4</f>
        <v>1.237846983</v>
      </c>
      <c r="G3" s="11">
        <f>P1_SRI!J7</f>
        <v>1.026882305</v>
      </c>
      <c r="H3" s="10">
        <f>P1_SRI!J19</f>
        <v>96.66666667</v>
      </c>
      <c r="I3" s="11">
        <f>P1_SRI!J22</f>
        <v>93.33333333</v>
      </c>
      <c r="J3" s="8"/>
    </row>
    <row r="4">
      <c r="A4" s="9" t="s">
        <v>8</v>
      </c>
      <c r="B4" s="14">
        <f>P2_SRC!J2</f>
        <v>0.7405550167</v>
      </c>
      <c r="C4" s="15">
        <f>P2_SRC!J5</f>
        <v>0.7489221489</v>
      </c>
      <c r="D4" s="8">
        <f>P2_SRC!J14</f>
        <v>100</v>
      </c>
      <c r="E4" s="15">
        <f>P2_SRC!J17</f>
        <v>98.33333333</v>
      </c>
      <c r="F4" s="16">
        <f>P2_SRI!J4</f>
        <v>0.9355084107</v>
      </c>
      <c r="G4" s="15">
        <f>P2_SRI!J7</f>
        <v>0.8396345526</v>
      </c>
      <c r="H4" s="16">
        <f>P2_SRI!J19</f>
        <v>93.33333333</v>
      </c>
      <c r="I4" s="15">
        <f>P2_SRI!J22</f>
        <v>93.33333333</v>
      </c>
      <c r="J4" s="8"/>
    </row>
    <row r="5">
      <c r="A5" s="9" t="s">
        <v>9</v>
      </c>
      <c r="B5" s="16">
        <f>P3_SRC!J3</f>
        <v>0.5462332107</v>
      </c>
      <c r="C5" s="15">
        <f>P3_SRC!J6</f>
        <v>0.68145348</v>
      </c>
      <c r="D5" s="8">
        <f>P3_SRC!J15</f>
        <v>96.66666667</v>
      </c>
      <c r="E5" s="15">
        <f>P3_SRC!J18</f>
        <v>88.33333333</v>
      </c>
      <c r="F5" s="16">
        <f>P3_SRI!J3</f>
        <v>1.023874897</v>
      </c>
      <c r="G5" s="15">
        <f>P3_SRI!J6</f>
        <v>1.023588963</v>
      </c>
      <c r="H5" s="16">
        <f>P3_SRI!J17</f>
        <v>95</v>
      </c>
      <c r="I5" s="15">
        <f>P3_SRI!J20</f>
        <v>90</v>
      </c>
      <c r="J5" s="8"/>
    </row>
    <row r="6">
      <c r="A6" s="9" t="s">
        <v>10</v>
      </c>
      <c r="B6" s="16">
        <f>P4_SRC!J3</f>
        <v>0.5789541207</v>
      </c>
      <c r="C6" s="15">
        <f>P4_SRC!J6</f>
        <v>0.6679541267</v>
      </c>
      <c r="D6" s="8">
        <f>P4_SRC!J15</f>
        <v>96.66666667</v>
      </c>
      <c r="E6" s="15">
        <f>P4_SRC!J18</f>
        <v>91.66666667</v>
      </c>
      <c r="F6" s="16">
        <f>P4_SR1!J3</f>
        <v>0.7973929576</v>
      </c>
      <c r="G6" s="15">
        <f>P4_SR1!J6</f>
        <v>1.616974231</v>
      </c>
      <c r="H6" s="16">
        <f>P4_SR1!J17</f>
        <v>91.66666667</v>
      </c>
      <c r="I6" s="15">
        <f>P4_SR1!J20</f>
        <v>85</v>
      </c>
      <c r="J6" s="8"/>
    </row>
    <row r="7">
      <c r="A7" s="17" t="s">
        <v>11</v>
      </c>
      <c r="B7" s="18">
        <f>P5_SRC!J3</f>
        <v>0.6115259138</v>
      </c>
      <c r="C7" s="19">
        <f>P5_SRC!J6</f>
        <v>0.5865450774</v>
      </c>
      <c r="D7" s="20">
        <f>P5_SRC!J15</f>
        <v>96.66666667</v>
      </c>
      <c r="E7" s="19">
        <f>P5_SRC!J20</f>
        <v>93.33333333</v>
      </c>
      <c r="F7" s="18">
        <f>P5_SRI!J3</f>
        <v>0.8661581902</v>
      </c>
      <c r="G7" s="19">
        <f>P5_SRI!J6</f>
        <v>0.9122244708</v>
      </c>
      <c r="H7" s="18">
        <f>P5_SRI!J17</f>
        <v>88.33333333</v>
      </c>
      <c r="I7" s="19">
        <f>P5_SRI!J20</f>
        <v>91.66666667</v>
      </c>
      <c r="J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</row>
  </sheetData>
  <mergeCells count="3">
    <mergeCell ref="A1:A2"/>
    <mergeCell ref="B1:E1"/>
    <mergeCell ref="F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19</v>
      </c>
      <c r="D2" s="22" t="s">
        <v>19</v>
      </c>
      <c r="E2" s="23">
        <v>1.0</v>
      </c>
      <c r="F2" s="23">
        <v>2.054053</v>
      </c>
    </row>
    <row r="3">
      <c r="A3" s="22" t="s">
        <v>18</v>
      </c>
      <c r="B3" s="22" t="s">
        <v>18</v>
      </c>
      <c r="C3" s="22" t="s">
        <v>19</v>
      </c>
      <c r="D3" s="22" t="s">
        <v>19</v>
      </c>
      <c r="E3" s="23">
        <v>1.0</v>
      </c>
      <c r="F3" s="23">
        <v>0.553767</v>
      </c>
      <c r="J3" s="24" t="s">
        <v>20</v>
      </c>
      <c r="K3" s="24" t="s">
        <v>21</v>
      </c>
    </row>
    <row r="4">
      <c r="A4" s="22" t="s">
        <v>18</v>
      </c>
      <c r="B4" s="22" t="s">
        <v>18</v>
      </c>
      <c r="C4" s="22" t="s">
        <v>19</v>
      </c>
      <c r="D4" s="22" t="s">
        <v>19</v>
      </c>
      <c r="E4" s="23">
        <v>1.0</v>
      </c>
      <c r="F4" s="23">
        <v>0.649015</v>
      </c>
      <c r="H4" s="22" t="s">
        <v>22</v>
      </c>
      <c r="J4" s="25">
        <f>average(F2:F31,F62:F90)</f>
        <v>0.9290425763</v>
      </c>
    </row>
    <row r="5">
      <c r="A5" s="22" t="s">
        <v>18</v>
      </c>
      <c r="B5" s="22" t="s">
        <v>18</v>
      </c>
      <c r="C5" s="22" t="s">
        <v>19</v>
      </c>
      <c r="D5" s="22" t="s">
        <v>19</v>
      </c>
      <c r="E5" s="23">
        <v>1.0</v>
      </c>
      <c r="F5" s="23">
        <v>0.561958</v>
      </c>
      <c r="H5" s="22" t="s">
        <v>23</v>
      </c>
      <c r="J5" s="25">
        <f>average(F2:F31)</f>
        <v>0.7957525667</v>
      </c>
    </row>
    <row r="6">
      <c r="A6" s="22" t="s">
        <v>18</v>
      </c>
      <c r="B6" s="22" t="s">
        <v>18</v>
      </c>
      <c r="C6" s="22" t="s">
        <v>19</v>
      </c>
      <c r="D6" s="22" t="s">
        <v>19</v>
      </c>
      <c r="E6" s="23">
        <v>1.0</v>
      </c>
      <c r="F6" s="23">
        <v>0.875558</v>
      </c>
      <c r="H6" s="22" t="s">
        <v>24</v>
      </c>
      <c r="J6" s="25">
        <f>average(F92:F120)</f>
        <v>0.8309735517</v>
      </c>
      <c r="K6" s="24">
        <v>1.0</v>
      </c>
    </row>
    <row r="7">
      <c r="A7" s="22" t="s">
        <v>18</v>
      </c>
      <c r="B7" s="22" t="s">
        <v>18</v>
      </c>
      <c r="C7" s="22" t="s">
        <v>19</v>
      </c>
      <c r="D7" s="22" t="s">
        <v>19</v>
      </c>
      <c r="E7" s="23">
        <v>1.0</v>
      </c>
      <c r="F7" s="23">
        <v>0.491186</v>
      </c>
      <c r="H7" s="22" t="s">
        <v>25</v>
      </c>
      <c r="J7" s="25">
        <f>average(F32:F61,F91:F190)</f>
        <v>0.7882491333</v>
      </c>
    </row>
    <row r="8">
      <c r="A8" s="22" t="s">
        <v>18</v>
      </c>
      <c r="B8" s="22" t="s">
        <v>18</v>
      </c>
      <c r="C8" s="22" t="s">
        <v>19</v>
      </c>
      <c r="D8" s="22" t="s">
        <v>19</v>
      </c>
      <c r="E8" s="23">
        <v>1.0</v>
      </c>
      <c r="F8" s="23">
        <v>0.906562</v>
      </c>
      <c r="H8" s="22" t="s">
        <v>26</v>
      </c>
      <c r="J8" s="25">
        <f>average(F32:F61)</f>
        <v>0.7602037667</v>
      </c>
    </row>
    <row r="9">
      <c r="A9" s="22" t="s">
        <v>18</v>
      </c>
      <c r="B9" s="22" t="s">
        <v>18</v>
      </c>
      <c r="C9" s="22" t="s">
        <v>19</v>
      </c>
      <c r="D9" s="22" t="s">
        <v>19</v>
      </c>
      <c r="E9" s="23">
        <v>1.0</v>
      </c>
      <c r="F9" s="23">
        <v>0.461021</v>
      </c>
      <c r="H9" s="22" t="s">
        <v>27</v>
      </c>
      <c r="J9" s="25">
        <f>average(F62:F91)</f>
        <v>1.044384567</v>
      </c>
    </row>
    <row r="10">
      <c r="A10" s="22" t="s">
        <v>18</v>
      </c>
      <c r="B10" s="22" t="s">
        <v>18</v>
      </c>
      <c r="C10" s="22" t="s">
        <v>19</v>
      </c>
      <c r="D10" s="22" t="s">
        <v>19</v>
      </c>
      <c r="E10" s="23">
        <v>1.0</v>
      </c>
      <c r="F10" s="23">
        <v>0.493506</v>
      </c>
    </row>
    <row r="11">
      <c r="A11" s="22" t="s">
        <v>18</v>
      </c>
      <c r="B11" s="22" t="s">
        <v>18</v>
      </c>
      <c r="C11" s="22" t="s">
        <v>19</v>
      </c>
      <c r="D11" s="22" t="s">
        <v>19</v>
      </c>
      <c r="E11" s="23">
        <v>1.0</v>
      </c>
      <c r="F11" s="23">
        <v>0.541397</v>
      </c>
      <c r="I11" s="24" t="s">
        <v>28</v>
      </c>
      <c r="J11" s="24" t="s">
        <v>29</v>
      </c>
    </row>
    <row r="12">
      <c r="A12" s="22" t="s">
        <v>18</v>
      </c>
      <c r="B12" s="22" t="s">
        <v>18</v>
      </c>
      <c r="C12" s="22" t="s">
        <v>19</v>
      </c>
      <c r="D12" s="22" t="s">
        <v>19</v>
      </c>
      <c r="E12" s="23">
        <v>1.0</v>
      </c>
      <c r="F12" s="23">
        <v>0.545587</v>
      </c>
      <c r="H12" s="24" t="s">
        <v>30</v>
      </c>
      <c r="I12" s="25">
        <f>J5</f>
        <v>0.7957525667</v>
      </c>
      <c r="J12" s="25">
        <f>J8</f>
        <v>0.7602037667</v>
      </c>
    </row>
    <row r="13">
      <c r="A13" s="22" t="s">
        <v>18</v>
      </c>
      <c r="B13" s="22" t="s">
        <v>18</v>
      </c>
      <c r="C13" s="22" t="s">
        <v>19</v>
      </c>
      <c r="D13" s="22" t="s">
        <v>19</v>
      </c>
      <c r="E13" s="23">
        <v>1.0</v>
      </c>
      <c r="F13" s="23">
        <v>0.459827</v>
      </c>
      <c r="H13" s="24" t="s">
        <v>31</v>
      </c>
      <c r="I13" s="25">
        <f>J9</f>
        <v>1.044384567</v>
      </c>
      <c r="J13" s="25">
        <f>J6</f>
        <v>0.8309735517</v>
      </c>
    </row>
    <row r="14">
      <c r="A14" s="22" t="s">
        <v>18</v>
      </c>
      <c r="B14" s="22" t="s">
        <v>18</v>
      </c>
      <c r="C14" s="22" t="s">
        <v>19</v>
      </c>
      <c r="D14" s="22" t="s">
        <v>19</v>
      </c>
      <c r="E14" s="23">
        <v>1.0</v>
      </c>
      <c r="F14" s="23">
        <v>0.455155</v>
      </c>
    </row>
    <row r="15">
      <c r="A15" s="22" t="s">
        <v>18</v>
      </c>
      <c r="B15" s="22" t="s">
        <v>18</v>
      </c>
      <c r="C15" s="22" t="s">
        <v>19</v>
      </c>
      <c r="D15" s="22" t="s">
        <v>19</v>
      </c>
      <c r="E15" s="23">
        <v>1.0</v>
      </c>
      <c r="F15" s="23">
        <v>0.551462</v>
      </c>
      <c r="H15" s="24" t="s">
        <v>32</v>
      </c>
    </row>
    <row r="16">
      <c r="A16" s="22" t="s">
        <v>18</v>
      </c>
      <c r="B16" s="22" t="s">
        <v>18</v>
      </c>
      <c r="C16" s="22" t="s">
        <v>19</v>
      </c>
      <c r="D16" s="22" t="s">
        <v>19</v>
      </c>
      <c r="E16" s="23">
        <v>1.0</v>
      </c>
      <c r="F16" s="23">
        <v>0.542719</v>
      </c>
      <c r="H16" s="22" t="s">
        <v>22</v>
      </c>
      <c r="J16" s="25">
        <f>59/60*100</f>
        <v>98.33333333</v>
      </c>
    </row>
    <row r="17">
      <c r="A17" s="22" t="s">
        <v>18</v>
      </c>
      <c r="B17" s="22" t="s">
        <v>18</v>
      </c>
      <c r="C17" s="22" t="s">
        <v>19</v>
      </c>
      <c r="D17" s="22" t="s">
        <v>19</v>
      </c>
      <c r="E17" s="23">
        <v>1.0</v>
      </c>
      <c r="F17" s="23">
        <v>0.568391</v>
      </c>
      <c r="H17" s="22" t="s">
        <v>23</v>
      </c>
      <c r="J17" s="25">
        <f>30/30*100</f>
        <v>100</v>
      </c>
    </row>
    <row r="18">
      <c r="A18" s="22" t="s">
        <v>18</v>
      </c>
      <c r="B18" s="22" t="s">
        <v>18</v>
      </c>
      <c r="C18" s="22" t="s">
        <v>19</v>
      </c>
      <c r="D18" s="22" t="s">
        <v>19</v>
      </c>
      <c r="E18" s="23">
        <v>1.0</v>
      </c>
      <c r="F18" s="23">
        <v>0.466417</v>
      </c>
      <c r="H18" s="22" t="s">
        <v>24</v>
      </c>
      <c r="J18" s="25">
        <f>29/30*100</f>
        <v>96.66666667</v>
      </c>
    </row>
    <row r="19">
      <c r="A19" s="22" t="s">
        <v>18</v>
      </c>
      <c r="B19" s="22" t="s">
        <v>18</v>
      </c>
      <c r="C19" s="22" t="s">
        <v>19</v>
      </c>
      <c r="D19" s="22" t="s">
        <v>19</v>
      </c>
      <c r="E19" s="23">
        <v>1.0</v>
      </c>
      <c r="F19" s="23">
        <v>0.714396</v>
      </c>
      <c r="H19" s="22" t="s">
        <v>25</v>
      </c>
      <c r="J19" s="25">
        <f>100</f>
        <v>100</v>
      </c>
    </row>
    <row r="20">
      <c r="A20" s="22" t="s">
        <v>18</v>
      </c>
      <c r="B20" s="22" t="s">
        <v>18</v>
      </c>
      <c r="C20" s="22" t="s">
        <v>19</v>
      </c>
      <c r="D20" s="22" t="s">
        <v>19</v>
      </c>
      <c r="E20" s="23">
        <v>1.0</v>
      </c>
      <c r="F20" s="23">
        <v>1.066073</v>
      </c>
      <c r="H20" s="22" t="s">
        <v>26</v>
      </c>
      <c r="J20" s="24">
        <v>100.0</v>
      </c>
    </row>
    <row r="21">
      <c r="A21" s="22" t="s">
        <v>18</v>
      </c>
      <c r="B21" s="22" t="s">
        <v>18</v>
      </c>
      <c r="C21" s="22" t="s">
        <v>19</v>
      </c>
      <c r="D21" s="22" t="s">
        <v>19</v>
      </c>
      <c r="E21" s="23">
        <v>1.0</v>
      </c>
      <c r="F21" s="23">
        <v>0.5989</v>
      </c>
      <c r="H21" s="22" t="s">
        <v>27</v>
      </c>
      <c r="J21" s="24">
        <v>100.0</v>
      </c>
    </row>
    <row r="22">
      <c r="A22" s="22" t="s">
        <v>18</v>
      </c>
      <c r="B22" s="22" t="s">
        <v>18</v>
      </c>
      <c r="C22" s="22" t="s">
        <v>19</v>
      </c>
      <c r="D22" s="22" t="s">
        <v>19</v>
      </c>
      <c r="E22" s="23">
        <v>1.0</v>
      </c>
      <c r="F22" s="23">
        <v>0.477536</v>
      </c>
    </row>
    <row r="23">
      <c r="A23" s="22" t="s">
        <v>18</v>
      </c>
      <c r="B23" s="22" t="s">
        <v>18</v>
      </c>
      <c r="C23" s="22" t="s">
        <v>19</v>
      </c>
      <c r="D23" s="22" t="s">
        <v>19</v>
      </c>
      <c r="E23" s="23">
        <v>1.0</v>
      </c>
      <c r="F23" s="23">
        <v>0.435989</v>
      </c>
    </row>
    <row r="24">
      <c r="A24" s="22" t="s">
        <v>18</v>
      </c>
      <c r="B24" s="22" t="s">
        <v>18</v>
      </c>
      <c r="C24" s="22" t="s">
        <v>19</v>
      </c>
      <c r="D24" s="22" t="s">
        <v>19</v>
      </c>
      <c r="E24" s="23">
        <v>1.0</v>
      </c>
      <c r="F24" s="23">
        <v>0.580045</v>
      </c>
    </row>
    <row r="25">
      <c r="A25" s="22" t="s">
        <v>18</v>
      </c>
      <c r="B25" s="22" t="s">
        <v>18</v>
      </c>
      <c r="C25" s="22" t="s">
        <v>19</v>
      </c>
      <c r="D25" s="22" t="s">
        <v>19</v>
      </c>
      <c r="E25" s="23">
        <v>1.0</v>
      </c>
      <c r="F25" s="23">
        <v>1.190855</v>
      </c>
    </row>
    <row r="26">
      <c r="A26" s="22" t="s">
        <v>18</v>
      </c>
      <c r="B26" s="22" t="s">
        <v>18</v>
      </c>
      <c r="C26" s="22" t="s">
        <v>19</v>
      </c>
      <c r="D26" s="22" t="s">
        <v>19</v>
      </c>
      <c r="E26" s="23">
        <v>1.0</v>
      </c>
      <c r="F26" s="23">
        <v>0.54346</v>
      </c>
    </row>
    <row r="27">
      <c r="A27" s="22" t="s">
        <v>18</v>
      </c>
      <c r="B27" s="22" t="s">
        <v>18</v>
      </c>
      <c r="C27" s="22" t="s">
        <v>19</v>
      </c>
      <c r="D27" s="22" t="s">
        <v>19</v>
      </c>
      <c r="E27" s="23">
        <v>1.0</v>
      </c>
      <c r="F27" s="23">
        <v>3.893533</v>
      </c>
    </row>
    <row r="28">
      <c r="A28" s="22" t="s">
        <v>18</v>
      </c>
      <c r="B28" s="22" t="s">
        <v>18</v>
      </c>
      <c r="C28" s="22" t="s">
        <v>19</v>
      </c>
      <c r="D28" s="22" t="s">
        <v>19</v>
      </c>
      <c r="E28" s="23">
        <v>1.0</v>
      </c>
      <c r="F28" s="23">
        <v>1.085663</v>
      </c>
    </row>
    <row r="29">
      <c r="A29" s="22" t="s">
        <v>18</v>
      </c>
      <c r="B29" s="22" t="s">
        <v>18</v>
      </c>
      <c r="C29" s="22" t="s">
        <v>19</v>
      </c>
      <c r="D29" s="22" t="s">
        <v>19</v>
      </c>
      <c r="E29" s="23">
        <v>1.0</v>
      </c>
      <c r="F29" s="23">
        <v>0.68854</v>
      </c>
    </row>
    <row r="30">
      <c r="A30" s="22" t="s">
        <v>18</v>
      </c>
      <c r="B30" s="22" t="s">
        <v>18</v>
      </c>
      <c r="C30" s="22" t="s">
        <v>19</v>
      </c>
      <c r="D30" s="22" t="s">
        <v>19</v>
      </c>
      <c r="E30" s="23">
        <v>1.0</v>
      </c>
      <c r="F30" s="23">
        <v>0.539683</v>
      </c>
    </row>
    <row r="31">
      <c r="A31" s="22" t="s">
        <v>18</v>
      </c>
      <c r="B31" s="22" t="s">
        <v>18</v>
      </c>
      <c r="C31" s="22" t="s">
        <v>19</v>
      </c>
      <c r="D31" s="22" t="s">
        <v>19</v>
      </c>
      <c r="E31" s="23">
        <v>1.0</v>
      </c>
      <c r="F31" s="23">
        <v>0.880323</v>
      </c>
    </row>
    <row r="32">
      <c r="A32" s="22" t="s">
        <v>18</v>
      </c>
      <c r="B32" s="22" t="s">
        <v>33</v>
      </c>
      <c r="C32" s="22" t="s">
        <v>34</v>
      </c>
      <c r="D32" s="22" t="s">
        <v>19</v>
      </c>
      <c r="E32" s="23">
        <v>1.0</v>
      </c>
      <c r="F32" s="23">
        <v>0.576383</v>
      </c>
    </row>
    <row r="33">
      <c r="A33" s="22" t="s">
        <v>18</v>
      </c>
      <c r="B33" s="22" t="s">
        <v>33</v>
      </c>
      <c r="C33" s="22" t="s">
        <v>34</v>
      </c>
      <c r="D33" s="22" t="s">
        <v>19</v>
      </c>
      <c r="E33" s="23">
        <v>1.0</v>
      </c>
      <c r="F33" s="23">
        <v>0.569501</v>
      </c>
    </row>
    <row r="34">
      <c r="A34" s="22" t="s">
        <v>18</v>
      </c>
      <c r="B34" s="22" t="s">
        <v>33</v>
      </c>
      <c r="C34" s="22" t="s">
        <v>34</v>
      </c>
      <c r="D34" s="22" t="s">
        <v>19</v>
      </c>
      <c r="E34" s="23">
        <v>1.0</v>
      </c>
      <c r="F34" s="23">
        <v>0.613265</v>
      </c>
    </row>
    <row r="35">
      <c r="A35" s="22" t="s">
        <v>18</v>
      </c>
      <c r="B35" s="22" t="s">
        <v>33</v>
      </c>
      <c r="C35" s="22" t="s">
        <v>34</v>
      </c>
      <c r="D35" s="22" t="s">
        <v>19</v>
      </c>
      <c r="E35" s="23">
        <v>1.0</v>
      </c>
      <c r="F35" s="23">
        <v>0.667223</v>
      </c>
    </row>
    <row r="36">
      <c r="A36" s="22" t="s">
        <v>18</v>
      </c>
      <c r="B36" s="22" t="s">
        <v>33</v>
      </c>
      <c r="C36" s="22" t="s">
        <v>34</v>
      </c>
      <c r="D36" s="22" t="s">
        <v>19</v>
      </c>
      <c r="E36" s="23">
        <v>1.0</v>
      </c>
      <c r="F36" s="23">
        <v>0.863561</v>
      </c>
    </row>
    <row r="37">
      <c r="A37" s="22" t="s">
        <v>18</v>
      </c>
      <c r="B37" s="22" t="s">
        <v>33</v>
      </c>
      <c r="C37" s="22" t="s">
        <v>34</v>
      </c>
      <c r="D37" s="22" t="s">
        <v>19</v>
      </c>
      <c r="E37" s="23">
        <v>1.0</v>
      </c>
      <c r="F37" s="23">
        <v>0.569285</v>
      </c>
    </row>
    <row r="38">
      <c r="A38" s="22" t="s">
        <v>18</v>
      </c>
      <c r="B38" s="22" t="s">
        <v>33</v>
      </c>
      <c r="C38" s="22" t="s">
        <v>34</v>
      </c>
      <c r="D38" s="22" t="s">
        <v>19</v>
      </c>
      <c r="E38" s="23">
        <v>1.0</v>
      </c>
      <c r="F38" s="23">
        <v>0.510366</v>
      </c>
    </row>
    <row r="39">
      <c r="A39" s="22" t="s">
        <v>18</v>
      </c>
      <c r="B39" s="22" t="s">
        <v>33</v>
      </c>
      <c r="C39" s="22" t="s">
        <v>34</v>
      </c>
      <c r="D39" s="22" t="s">
        <v>19</v>
      </c>
      <c r="E39" s="23">
        <v>1.0</v>
      </c>
      <c r="F39" s="23">
        <v>0.604912</v>
      </c>
    </row>
    <row r="40">
      <c r="A40" s="22" t="s">
        <v>18</v>
      </c>
      <c r="B40" s="22" t="s">
        <v>33</v>
      </c>
      <c r="C40" s="22" t="s">
        <v>34</v>
      </c>
      <c r="D40" s="22" t="s">
        <v>19</v>
      </c>
      <c r="E40" s="23">
        <v>1.0</v>
      </c>
      <c r="F40" s="23">
        <v>0.571086</v>
      </c>
    </row>
    <row r="41">
      <c r="A41" s="22" t="s">
        <v>18</v>
      </c>
      <c r="B41" s="22" t="s">
        <v>33</v>
      </c>
      <c r="C41" s="22" t="s">
        <v>34</v>
      </c>
      <c r="D41" s="22" t="s">
        <v>19</v>
      </c>
      <c r="E41" s="23">
        <v>1.0</v>
      </c>
      <c r="F41" s="23">
        <v>0.527165</v>
      </c>
    </row>
    <row r="42">
      <c r="A42" s="22" t="s">
        <v>18</v>
      </c>
      <c r="B42" s="22" t="s">
        <v>33</v>
      </c>
      <c r="C42" s="22" t="s">
        <v>34</v>
      </c>
      <c r="D42" s="22" t="s">
        <v>19</v>
      </c>
      <c r="E42" s="23">
        <v>1.0</v>
      </c>
      <c r="F42" s="23">
        <v>0.511777</v>
      </c>
    </row>
    <row r="43">
      <c r="A43" s="22" t="s">
        <v>18</v>
      </c>
      <c r="B43" s="22" t="s">
        <v>33</v>
      </c>
      <c r="C43" s="22" t="s">
        <v>34</v>
      </c>
      <c r="D43" s="22" t="s">
        <v>19</v>
      </c>
      <c r="E43" s="23">
        <v>1.0</v>
      </c>
      <c r="F43" s="23">
        <v>0.77002</v>
      </c>
    </row>
    <row r="44">
      <c r="A44" s="22" t="s">
        <v>18</v>
      </c>
      <c r="B44" s="22" t="s">
        <v>33</v>
      </c>
      <c r="C44" s="22" t="s">
        <v>34</v>
      </c>
      <c r="D44" s="22" t="s">
        <v>19</v>
      </c>
      <c r="E44" s="23">
        <v>1.0</v>
      </c>
      <c r="F44" s="23">
        <v>1.516066</v>
      </c>
    </row>
    <row r="45">
      <c r="A45" s="22" t="s">
        <v>18</v>
      </c>
      <c r="B45" s="22" t="s">
        <v>33</v>
      </c>
      <c r="C45" s="22" t="s">
        <v>34</v>
      </c>
      <c r="D45" s="22" t="s">
        <v>19</v>
      </c>
      <c r="E45" s="23">
        <v>1.0</v>
      </c>
      <c r="F45" s="23">
        <v>0.839745</v>
      </c>
    </row>
    <row r="46">
      <c r="A46" s="22" t="s">
        <v>18</v>
      </c>
      <c r="B46" s="22" t="s">
        <v>33</v>
      </c>
      <c r="C46" s="22" t="s">
        <v>34</v>
      </c>
      <c r="D46" s="22" t="s">
        <v>19</v>
      </c>
      <c r="E46" s="23">
        <v>1.0</v>
      </c>
      <c r="F46" s="23">
        <v>0.548598</v>
      </c>
    </row>
    <row r="47">
      <c r="A47" s="22" t="s">
        <v>18</v>
      </c>
      <c r="B47" s="22" t="s">
        <v>33</v>
      </c>
      <c r="C47" s="22" t="s">
        <v>34</v>
      </c>
      <c r="D47" s="22" t="s">
        <v>19</v>
      </c>
      <c r="E47" s="23">
        <v>1.0</v>
      </c>
      <c r="F47" s="23">
        <v>1.652148</v>
      </c>
    </row>
    <row r="48">
      <c r="A48" s="22" t="s">
        <v>18</v>
      </c>
      <c r="B48" s="22" t="s">
        <v>33</v>
      </c>
      <c r="C48" s="22" t="s">
        <v>34</v>
      </c>
      <c r="D48" s="22" t="s">
        <v>19</v>
      </c>
      <c r="E48" s="23">
        <v>1.0</v>
      </c>
      <c r="F48" s="23">
        <v>1.015898</v>
      </c>
    </row>
    <row r="49">
      <c r="A49" s="22" t="s">
        <v>18</v>
      </c>
      <c r="B49" s="22" t="s">
        <v>33</v>
      </c>
      <c r="C49" s="22" t="s">
        <v>34</v>
      </c>
      <c r="D49" s="22" t="s">
        <v>19</v>
      </c>
      <c r="E49" s="23">
        <v>1.0</v>
      </c>
      <c r="F49" s="23">
        <v>0.839549</v>
      </c>
    </row>
    <row r="50">
      <c r="A50" s="22" t="s">
        <v>18</v>
      </c>
      <c r="B50" s="22" t="s">
        <v>33</v>
      </c>
      <c r="C50" s="22" t="s">
        <v>34</v>
      </c>
      <c r="D50" s="22" t="s">
        <v>19</v>
      </c>
      <c r="E50" s="23">
        <v>1.0</v>
      </c>
      <c r="F50" s="23">
        <v>0.678439</v>
      </c>
    </row>
    <row r="51">
      <c r="A51" s="22" t="s">
        <v>18</v>
      </c>
      <c r="B51" s="22" t="s">
        <v>33</v>
      </c>
      <c r="C51" s="22" t="s">
        <v>34</v>
      </c>
      <c r="D51" s="22" t="s">
        <v>19</v>
      </c>
      <c r="E51" s="23">
        <v>1.0</v>
      </c>
      <c r="F51" s="23">
        <v>0.490617</v>
      </c>
    </row>
    <row r="52">
      <c r="A52" s="22" t="s">
        <v>18</v>
      </c>
      <c r="B52" s="22" t="s">
        <v>33</v>
      </c>
      <c r="C52" s="22" t="s">
        <v>34</v>
      </c>
      <c r="D52" s="22" t="s">
        <v>19</v>
      </c>
      <c r="E52" s="23">
        <v>1.0</v>
      </c>
      <c r="F52" s="23">
        <v>0.505333</v>
      </c>
    </row>
    <row r="53">
      <c r="A53" s="22" t="s">
        <v>18</v>
      </c>
      <c r="B53" s="22" t="s">
        <v>33</v>
      </c>
      <c r="C53" s="22" t="s">
        <v>34</v>
      </c>
      <c r="D53" s="22" t="s">
        <v>19</v>
      </c>
      <c r="E53" s="23">
        <v>1.0</v>
      </c>
      <c r="F53" s="23">
        <v>0.62869</v>
      </c>
    </row>
    <row r="54">
      <c r="A54" s="22" t="s">
        <v>18</v>
      </c>
      <c r="B54" s="22" t="s">
        <v>33</v>
      </c>
      <c r="C54" s="22" t="s">
        <v>34</v>
      </c>
      <c r="D54" s="22" t="s">
        <v>19</v>
      </c>
      <c r="E54" s="23">
        <v>1.0</v>
      </c>
      <c r="F54" s="23">
        <v>0.645152</v>
      </c>
    </row>
    <row r="55">
      <c r="A55" s="22" t="s">
        <v>18</v>
      </c>
      <c r="B55" s="22" t="s">
        <v>33</v>
      </c>
      <c r="C55" s="22" t="s">
        <v>34</v>
      </c>
      <c r="D55" s="22" t="s">
        <v>19</v>
      </c>
      <c r="E55" s="23">
        <v>1.0</v>
      </c>
      <c r="F55" s="23">
        <v>0.610348</v>
      </c>
    </row>
    <row r="56">
      <c r="A56" s="22" t="s">
        <v>18</v>
      </c>
      <c r="B56" s="22" t="s">
        <v>33</v>
      </c>
      <c r="C56" s="22" t="s">
        <v>34</v>
      </c>
      <c r="D56" s="22" t="s">
        <v>19</v>
      </c>
      <c r="E56" s="23">
        <v>1.0</v>
      </c>
      <c r="F56" s="23">
        <v>0.561634</v>
      </c>
    </row>
    <row r="57">
      <c r="A57" s="22" t="s">
        <v>18</v>
      </c>
      <c r="B57" s="22" t="s">
        <v>33</v>
      </c>
      <c r="C57" s="22" t="s">
        <v>34</v>
      </c>
      <c r="D57" s="22" t="s">
        <v>19</v>
      </c>
      <c r="E57" s="23">
        <v>1.0</v>
      </c>
      <c r="F57" s="23">
        <v>0.830473</v>
      </c>
    </row>
    <row r="58">
      <c r="A58" s="22" t="s">
        <v>18</v>
      </c>
      <c r="B58" s="22" t="s">
        <v>33</v>
      </c>
      <c r="C58" s="22" t="s">
        <v>34</v>
      </c>
      <c r="D58" s="22" t="s">
        <v>19</v>
      </c>
      <c r="E58" s="23">
        <v>1.0</v>
      </c>
      <c r="F58" s="23">
        <v>0.566111</v>
      </c>
    </row>
    <row r="59">
      <c r="A59" s="22" t="s">
        <v>18</v>
      </c>
      <c r="B59" s="22" t="s">
        <v>33</v>
      </c>
      <c r="C59" s="22" t="s">
        <v>34</v>
      </c>
      <c r="D59" s="22" t="s">
        <v>19</v>
      </c>
      <c r="E59" s="23">
        <v>1.0</v>
      </c>
      <c r="F59" s="23">
        <v>0.603739</v>
      </c>
    </row>
    <row r="60">
      <c r="A60" s="22" t="s">
        <v>18</v>
      </c>
      <c r="B60" s="22" t="s">
        <v>33</v>
      </c>
      <c r="C60" s="22" t="s">
        <v>34</v>
      </c>
      <c r="D60" s="22" t="s">
        <v>19</v>
      </c>
      <c r="E60" s="23">
        <v>1.0</v>
      </c>
      <c r="F60" s="23">
        <v>0.656271</v>
      </c>
    </row>
    <row r="61">
      <c r="A61" s="22" t="s">
        <v>18</v>
      </c>
      <c r="B61" s="22" t="s">
        <v>33</v>
      </c>
      <c r="C61" s="22" t="s">
        <v>34</v>
      </c>
      <c r="D61" s="22" t="s">
        <v>19</v>
      </c>
      <c r="E61" s="23">
        <v>1.0</v>
      </c>
      <c r="F61" s="23">
        <v>2.262758</v>
      </c>
    </row>
    <row r="62">
      <c r="A62" s="22" t="s">
        <v>33</v>
      </c>
      <c r="B62" s="22" t="s">
        <v>18</v>
      </c>
      <c r="C62" s="22" t="s">
        <v>34</v>
      </c>
      <c r="D62" s="22" t="s">
        <v>19</v>
      </c>
      <c r="E62" s="23">
        <v>1.0</v>
      </c>
      <c r="F62" s="23">
        <v>1.082095</v>
      </c>
    </row>
    <row r="63">
      <c r="A63" s="22" t="s">
        <v>33</v>
      </c>
      <c r="B63" s="22" t="s">
        <v>18</v>
      </c>
      <c r="C63" s="22" t="s">
        <v>34</v>
      </c>
      <c r="D63" s="22" t="s">
        <v>19</v>
      </c>
      <c r="E63" s="23">
        <v>1.0</v>
      </c>
      <c r="F63" s="23">
        <v>0.559872</v>
      </c>
    </row>
    <row r="64">
      <c r="A64" s="22" t="s">
        <v>33</v>
      </c>
      <c r="B64" s="22" t="s">
        <v>18</v>
      </c>
      <c r="C64" s="22" t="s">
        <v>34</v>
      </c>
      <c r="D64" s="22" t="s">
        <v>19</v>
      </c>
      <c r="E64" s="23">
        <v>1.0</v>
      </c>
      <c r="F64" s="23">
        <v>0.771978</v>
      </c>
    </row>
    <row r="65">
      <c r="A65" s="22" t="s">
        <v>33</v>
      </c>
      <c r="B65" s="22" t="s">
        <v>18</v>
      </c>
      <c r="C65" s="22" t="s">
        <v>34</v>
      </c>
      <c r="D65" s="22" t="s">
        <v>19</v>
      </c>
      <c r="E65" s="23">
        <v>1.0</v>
      </c>
      <c r="F65" s="23">
        <v>0.934187</v>
      </c>
    </row>
    <row r="66">
      <c r="A66" s="22" t="s">
        <v>33</v>
      </c>
      <c r="B66" s="22" t="s">
        <v>18</v>
      </c>
      <c r="C66" s="22" t="s">
        <v>34</v>
      </c>
      <c r="D66" s="22" t="s">
        <v>19</v>
      </c>
      <c r="E66" s="23">
        <v>1.0</v>
      </c>
      <c r="F66" s="23">
        <v>1.229726</v>
      </c>
    </row>
    <row r="67">
      <c r="A67" s="22" t="s">
        <v>33</v>
      </c>
      <c r="B67" s="22" t="s">
        <v>18</v>
      </c>
      <c r="C67" s="22" t="s">
        <v>34</v>
      </c>
      <c r="D67" s="22" t="s">
        <v>19</v>
      </c>
      <c r="E67" s="23">
        <v>1.0</v>
      </c>
      <c r="F67" s="23">
        <v>0.557109</v>
      </c>
    </row>
    <row r="68">
      <c r="A68" s="22" t="s">
        <v>33</v>
      </c>
      <c r="B68" s="22" t="s">
        <v>18</v>
      </c>
      <c r="C68" s="22" t="s">
        <v>34</v>
      </c>
      <c r="D68" s="22" t="s">
        <v>19</v>
      </c>
      <c r="E68" s="23">
        <v>1.0</v>
      </c>
      <c r="F68" s="23">
        <v>0.789735</v>
      </c>
    </row>
    <row r="69">
      <c r="A69" s="22" t="s">
        <v>33</v>
      </c>
      <c r="B69" s="22" t="s">
        <v>18</v>
      </c>
      <c r="C69" s="22" t="s">
        <v>34</v>
      </c>
      <c r="D69" s="22" t="s">
        <v>19</v>
      </c>
      <c r="E69" s="23">
        <v>1.0</v>
      </c>
      <c r="F69" s="23">
        <v>0.844781</v>
      </c>
    </row>
    <row r="70">
      <c r="A70" s="22" t="s">
        <v>33</v>
      </c>
      <c r="B70" s="22" t="s">
        <v>18</v>
      </c>
      <c r="C70" s="22" t="s">
        <v>34</v>
      </c>
      <c r="D70" s="22" t="s">
        <v>19</v>
      </c>
      <c r="E70" s="23">
        <v>1.0</v>
      </c>
      <c r="F70" s="23">
        <v>1.292262</v>
      </c>
    </row>
    <row r="71">
      <c r="A71" s="22" t="s">
        <v>33</v>
      </c>
      <c r="B71" s="22" t="s">
        <v>18</v>
      </c>
      <c r="C71" s="22" t="s">
        <v>34</v>
      </c>
      <c r="D71" s="22" t="s">
        <v>19</v>
      </c>
      <c r="E71" s="23">
        <v>1.0</v>
      </c>
      <c r="F71" s="23">
        <v>0.558622</v>
      </c>
    </row>
    <row r="72">
      <c r="A72" s="22" t="s">
        <v>33</v>
      </c>
      <c r="B72" s="22" t="s">
        <v>18</v>
      </c>
      <c r="C72" s="22" t="s">
        <v>34</v>
      </c>
      <c r="D72" s="22" t="s">
        <v>19</v>
      </c>
      <c r="E72" s="23">
        <v>1.0</v>
      </c>
      <c r="F72" s="23">
        <v>0.885004</v>
      </c>
    </row>
    <row r="73">
      <c r="A73" s="22" t="s">
        <v>33</v>
      </c>
      <c r="B73" s="22" t="s">
        <v>18</v>
      </c>
      <c r="C73" s="22" t="s">
        <v>34</v>
      </c>
      <c r="D73" s="22" t="s">
        <v>19</v>
      </c>
      <c r="E73" s="23">
        <v>1.0</v>
      </c>
      <c r="F73" s="23">
        <v>0.553728</v>
      </c>
    </row>
    <row r="74">
      <c r="A74" s="22" t="s">
        <v>33</v>
      </c>
      <c r="B74" s="22" t="s">
        <v>18</v>
      </c>
      <c r="C74" s="22" t="s">
        <v>34</v>
      </c>
      <c r="D74" s="22" t="s">
        <v>19</v>
      </c>
      <c r="E74" s="23">
        <v>1.0</v>
      </c>
      <c r="F74" s="23">
        <v>0.532984</v>
      </c>
    </row>
    <row r="75">
      <c r="A75" s="22" t="s">
        <v>33</v>
      </c>
      <c r="B75" s="22" t="s">
        <v>18</v>
      </c>
      <c r="C75" s="22" t="s">
        <v>34</v>
      </c>
      <c r="D75" s="22" t="s">
        <v>19</v>
      </c>
      <c r="E75" s="23">
        <v>1.0</v>
      </c>
      <c r="F75" s="23">
        <v>0.613393</v>
      </c>
    </row>
    <row r="76">
      <c r="A76" s="22" t="s">
        <v>33</v>
      </c>
      <c r="B76" s="22" t="s">
        <v>18</v>
      </c>
      <c r="C76" s="22" t="s">
        <v>34</v>
      </c>
      <c r="D76" s="22" t="s">
        <v>19</v>
      </c>
      <c r="E76" s="23">
        <v>1.0</v>
      </c>
      <c r="F76" s="23">
        <v>0.636138</v>
      </c>
    </row>
    <row r="77">
      <c r="A77" s="22" t="s">
        <v>33</v>
      </c>
      <c r="B77" s="22" t="s">
        <v>18</v>
      </c>
      <c r="C77" s="22" t="s">
        <v>34</v>
      </c>
      <c r="D77" s="22" t="s">
        <v>19</v>
      </c>
      <c r="E77" s="23">
        <v>1.0</v>
      </c>
      <c r="F77" s="23">
        <v>2.11103</v>
      </c>
    </row>
    <row r="78">
      <c r="A78" s="22" t="s">
        <v>33</v>
      </c>
      <c r="B78" s="22" t="s">
        <v>18</v>
      </c>
      <c r="C78" s="22" t="s">
        <v>34</v>
      </c>
      <c r="D78" s="22" t="s">
        <v>19</v>
      </c>
      <c r="E78" s="23">
        <v>1.0</v>
      </c>
      <c r="F78" s="23">
        <v>0.695542</v>
      </c>
    </row>
    <row r="79">
      <c r="A79" s="22" t="s">
        <v>33</v>
      </c>
      <c r="B79" s="22" t="s">
        <v>18</v>
      </c>
      <c r="C79" s="22" t="s">
        <v>34</v>
      </c>
      <c r="D79" s="22" t="s">
        <v>19</v>
      </c>
      <c r="E79" s="23">
        <v>1.0</v>
      </c>
      <c r="F79" s="23">
        <v>0.605847</v>
      </c>
    </row>
    <row r="80">
      <c r="A80" s="22" t="s">
        <v>33</v>
      </c>
      <c r="B80" s="22" t="s">
        <v>18</v>
      </c>
      <c r="C80" s="22" t="s">
        <v>34</v>
      </c>
      <c r="D80" s="22" t="s">
        <v>19</v>
      </c>
      <c r="E80" s="23">
        <v>1.0</v>
      </c>
      <c r="F80" s="23">
        <v>0.546654</v>
      </c>
    </row>
    <row r="81">
      <c r="A81" s="22" t="s">
        <v>33</v>
      </c>
      <c r="B81" s="22" t="s">
        <v>18</v>
      </c>
      <c r="C81" s="22" t="s">
        <v>34</v>
      </c>
      <c r="D81" s="22" t="s">
        <v>19</v>
      </c>
      <c r="E81" s="23">
        <v>1.0</v>
      </c>
      <c r="F81" s="23">
        <v>2.880528</v>
      </c>
    </row>
    <row r="82">
      <c r="A82" s="22" t="s">
        <v>33</v>
      </c>
      <c r="B82" s="22" t="s">
        <v>18</v>
      </c>
      <c r="C82" s="22" t="s">
        <v>34</v>
      </c>
      <c r="D82" s="22" t="s">
        <v>19</v>
      </c>
      <c r="E82" s="23">
        <v>1.0</v>
      </c>
      <c r="F82" s="23">
        <v>0.646418</v>
      </c>
    </row>
    <row r="83">
      <c r="A83" s="22" t="s">
        <v>33</v>
      </c>
      <c r="B83" s="22" t="s">
        <v>18</v>
      </c>
      <c r="C83" s="22" t="s">
        <v>34</v>
      </c>
      <c r="D83" s="22" t="s">
        <v>19</v>
      </c>
      <c r="E83" s="23">
        <v>1.0</v>
      </c>
      <c r="F83" s="23">
        <v>0.754248</v>
      </c>
    </row>
    <row r="84">
      <c r="A84" s="22" t="s">
        <v>33</v>
      </c>
      <c r="B84" s="22" t="s">
        <v>18</v>
      </c>
      <c r="C84" s="22" t="s">
        <v>34</v>
      </c>
      <c r="D84" s="22" t="s">
        <v>19</v>
      </c>
      <c r="E84" s="23">
        <v>1.0</v>
      </c>
      <c r="F84" s="23">
        <v>1.797965</v>
      </c>
    </row>
    <row r="85">
      <c r="A85" s="22" t="s">
        <v>33</v>
      </c>
      <c r="B85" s="22" t="s">
        <v>18</v>
      </c>
      <c r="C85" s="22" t="s">
        <v>34</v>
      </c>
      <c r="D85" s="22" t="s">
        <v>19</v>
      </c>
      <c r="E85" s="23">
        <v>1.0</v>
      </c>
      <c r="F85" s="23">
        <v>2.072743</v>
      </c>
    </row>
    <row r="86">
      <c r="A86" s="22" t="s">
        <v>33</v>
      </c>
      <c r="B86" s="22" t="s">
        <v>18</v>
      </c>
      <c r="C86" s="22" t="s">
        <v>34</v>
      </c>
      <c r="D86" s="22" t="s">
        <v>19</v>
      </c>
      <c r="E86" s="23">
        <v>1.0</v>
      </c>
      <c r="F86" s="23">
        <v>0.851541</v>
      </c>
    </row>
    <row r="87">
      <c r="A87" s="22" t="s">
        <v>33</v>
      </c>
      <c r="B87" s="22" t="s">
        <v>18</v>
      </c>
      <c r="C87" s="22" t="s">
        <v>34</v>
      </c>
      <c r="D87" s="22" t="s">
        <v>19</v>
      </c>
      <c r="E87" s="23">
        <v>1.0</v>
      </c>
      <c r="F87" s="23">
        <v>0.558178</v>
      </c>
    </row>
    <row r="88">
      <c r="A88" s="22" t="s">
        <v>33</v>
      </c>
      <c r="B88" s="22" t="s">
        <v>18</v>
      </c>
      <c r="C88" s="22" t="s">
        <v>34</v>
      </c>
      <c r="D88" s="22" t="s">
        <v>19</v>
      </c>
      <c r="E88" s="23">
        <v>1.0</v>
      </c>
      <c r="F88" s="23">
        <v>3.453693</v>
      </c>
    </row>
    <row r="89">
      <c r="A89" s="22" t="s">
        <v>33</v>
      </c>
      <c r="B89" s="22" t="s">
        <v>18</v>
      </c>
      <c r="C89" s="22" t="s">
        <v>34</v>
      </c>
      <c r="D89" s="22" t="s">
        <v>19</v>
      </c>
      <c r="E89" s="23">
        <v>1.0</v>
      </c>
      <c r="F89" s="23">
        <v>0.509057</v>
      </c>
    </row>
    <row r="90">
      <c r="A90" s="22" t="s">
        <v>33</v>
      </c>
      <c r="B90" s="22" t="s">
        <v>18</v>
      </c>
      <c r="C90" s="22" t="s">
        <v>34</v>
      </c>
      <c r="D90" s="22" t="s">
        <v>19</v>
      </c>
      <c r="E90" s="23">
        <v>1.0</v>
      </c>
      <c r="F90" s="23">
        <v>1.615877</v>
      </c>
    </row>
    <row r="91">
      <c r="A91" s="22" t="s">
        <v>33</v>
      </c>
      <c r="B91" s="22" t="s">
        <v>18</v>
      </c>
      <c r="C91" s="22" t="s">
        <v>34</v>
      </c>
      <c r="D91" s="22" t="s">
        <v>19</v>
      </c>
      <c r="E91" s="23">
        <v>1.0</v>
      </c>
      <c r="F91" s="23">
        <v>0.390602</v>
      </c>
    </row>
    <row r="92">
      <c r="A92" s="22" t="s">
        <v>33</v>
      </c>
      <c r="B92" s="22" t="s">
        <v>33</v>
      </c>
      <c r="C92" s="22" t="s">
        <v>19</v>
      </c>
      <c r="D92" s="22" t="s">
        <v>19</v>
      </c>
      <c r="E92" s="23">
        <v>1.0</v>
      </c>
      <c r="F92" s="23">
        <v>0.812715</v>
      </c>
    </row>
    <row r="93">
      <c r="A93" s="22" t="s">
        <v>33</v>
      </c>
      <c r="B93" s="22" t="s">
        <v>33</v>
      </c>
      <c r="C93" s="22" t="s">
        <v>19</v>
      </c>
      <c r="D93" s="22" t="s">
        <v>19</v>
      </c>
      <c r="E93" s="23">
        <v>1.0</v>
      </c>
      <c r="F93" s="23">
        <v>0.661114</v>
      </c>
    </row>
    <row r="94">
      <c r="A94" s="22" t="s">
        <v>33</v>
      </c>
      <c r="B94" s="22" t="s">
        <v>33</v>
      </c>
      <c r="C94" s="22" t="s">
        <v>19</v>
      </c>
      <c r="D94" s="22" t="s">
        <v>19</v>
      </c>
      <c r="E94" s="23">
        <v>1.0</v>
      </c>
      <c r="F94" s="23">
        <v>1.079995</v>
      </c>
    </row>
    <row r="95">
      <c r="A95" s="22" t="s">
        <v>33</v>
      </c>
      <c r="B95" s="22" t="s">
        <v>33</v>
      </c>
      <c r="C95" s="22" t="s">
        <v>19</v>
      </c>
      <c r="D95" s="22" t="s">
        <v>19</v>
      </c>
      <c r="E95" s="23">
        <v>1.0</v>
      </c>
      <c r="F95" s="23">
        <v>0.684726</v>
      </c>
    </row>
    <row r="96">
      <c r="A96" s="22" t="s">
        <v>33</v>
      </c>
      <c r="B96" s="22" t="s">
        <v>33</v>
      </c>
      <c r="C96" s="22" t="s">
        <v>19</v>
      </c>
      <c r="D96" s="22" t="s">
        <v>19</v>
      </c>
      <c r="E96" s="23">
        <v>1.0</v>
      </c>
      <c r="F96" s="23">
        <v>0.496435</v>
      </c>
    </row>
    <row r="97">
      <c r="A97" s="22" t="s">
        <v>33</v>
      </c>
      <c r="B97" s="22" t="s">
        <v>33</v>
      </c>
      <c r="C97" s="22" t="s">
        <v>19</v>
      </c>
      <c r="D97" s="22" t="s">
        <v>19</v>
      </c>
      <c r="E97" s="23">
        <v>1.0</v>
      </c>
      <c r="F97" s="23">
        <v>0.462954</v>
      </c>
    </row>
    <row r="98">
      <c r="A98" s="22" t="s">
        <v>33</v>
      </c>
      <c r="B98" s="22" t="s">
        <v>33</v>
      </c>
      <c r="C98" s="22" t="s">
        <v>19</v>
      </c>
      <c r="D98" s="22" t="s">
        <v>19</v>
      </c>
      <c r="E98" s="23">
        <v>1.0</v>
      </c>
      <c r="F98" s="23">
        <v>0.80942</v>
      </c>
    </row>
    <row r="99">
      <c r="A99" s="22" t="s">
        <v>33</v>
      </c>
      <c r="B99" s="22" t="s">
        <v>33</v>
      </c>
      <c r="C99" s="22" t="s">
        <v>19</v>
      </c>
      <c r="D99" s="22" t="s">
        <v>19</v>
      </c>
      <c r="E99" s="23">
        <v>1.0</v>
      </c>
      <c r="F99" s="23">
        <v>1.782617</v>
      </c>
    </row>
    <row r="100">
      <c r="A100" s="22" t="s">
        <v>33</v>
      </c>
      <c r="B100" s="22" t="s">
        <v>33</v>
      </c>
      <c r="C100" s="22" t="s">
        <v>19</v>
      </c>
      <c r="D100" s="22" t="s">
        <v>19</v>
      </c>
      <c r="E100" s="23">
        <v>1.0</v>
      </c>
      <c r="F100" s="23">
        <v>0.59662</v>
      </c>
    </row>
    <row r="101">
      <c r="A101" s="22" t="s">
        <v>33</v>
      </c>
      <c r="B101" s="22" t="s">
        <v>33</v>
      </c>
      <c r="C101" s="22" t="s">
        <v>19</v>
      </c>
      <c r="D101" s="22" t="s">
        <v>19</v>
      </c>
      <c r="E101" s="23">
        <v>1.0</v>
      </c>
      <c r="F101" s="23">
        <v>0.613019</v>
      </c>
    </row>
    <row r="102">
      <c r="A102" s="22" t="s">
        <v>33</v>
      </c>
      <c r="B102" s="22" t="s">
        <v>33</v>
      </c>
      <c r="C102" s="22" t="s">
        <v>19</v>
      </c>
      <c r="D102" s="22" t="s">
        <v>19</v>
      </c>
      <c r="E102" s="23">
        <v>1.0</v>
      </c>
      <c r="F102" s="23">
        <v>4.216432</v>
      </c>
    </row>
    <row r="103">
      <c r="A103" s="22" t="s">
        <v>33</v>
      </c>
      <c r="B103" s="22" t="s">
        <v>33</v>
      </c>
      <c r="C103" s="22" t="s">
        <v>19</v>
      </c>
      <c r="D103" s="22" t="s">
        <v>19</v>
      </c>
      <c r="E103" s="23">
        <v>1.0</v>
      </c>
      <c r="F103" s="23">
        <v>0.640973</v>
      </c>
    </row>
    <row r="104">
      <c r="A104" s="22" t="s">
        <v>33</v>
      </c>
      <c r="B104" s="22" t="s">
        <v>33</v>
      </c>
      <c r="C104" s="22" t="s">
        <v>19</v>
      </c>
      <c r="D104" s="22" t="s">
        <v>19</v>
      </c>
      <c r="E104" s="23">
        <v>1.0</v>
      </c>
      <c r="F104" s="23">
        <v>0.798017</v>
      </c>
    </row>
    <row r="105">
      <c r="A105" s="22" t="s">
        <v>33</v>
      </c>
      <c r="B105" s="22" t="s">
        <v>33</v>
      </c>
      <c r="C105" s="22" t="s">
        <v>19</v>
      </c>
      <c r="D105" s="22" t="s">
        <v>19</v>
      </c>
      <c r="E105" s="23">
        <v>1.0</v>
      </c>
      <c r="F105" s="23">
        <v>0.438494</v>
      </c>
    </row>
    <row r="106">
      <c r="A106" s="22" t="s">
        <v>33</v>
      </c>
      <c r="B106" s="22" t="s">
        <v>33</v>
      </c>
      <c r="C106" s="22" t="s">
        <v>19</v>
      </c>
      <c r="D106" s="22" t="s">
        <v>19</v>
      </c>
      <c r="E106" s="23">
        <v>1.0</v>
      </c>
      <c r="F106" s="23">
        <v>0.606993</v>
      </c>
    </row>
    <row r="107">
      <c r="A107" s="22" t="s">
        <v>33</v>
      </c>
      <c r="B107" s="22" t="s">
        <v>33</v>
      </c>
      <c r="C107" s="22" t="s">
        <v>19</v>
      </c>
      <c r="D107" s="22" t="s">
        <v>19</v>
      </c>
      <c r="E107" s="23">
        <v>1.0</v>
      </c>
      <c r="F107" s="23">
        <v>0.655861</v>
      </c>
    </row>
    <row r="108">
      <c r="A108" s="22" t="s">
        <v>33</v>
      </c>
      <c r="B108" s="22" t="s">
        <v>33</v>
      </c>
      <c r="C108" s="22" t="s">
        <v>19</v>
      </c>
      <c r="D108" s="22" t="s">
        <v>19</v>
      </c>
      <c r="E108" s="23">
        <v>1.0</v>
      </c>
      <c r="F108" s="23">
        <v>1.243218</v>
      </c>
    </row>
    <row r="109">
      <c r="A109" s="22" t="s">
        <v>33</v>
      </c>
      <c r="B109" s="22" t="s">
        <v>33</v>
      </c>
      <c r="C109" s="22" t="s">
        <v>19</v>
      </c>
      <c r="D109" s="22" t="s">
        <v>19</v>
      </c>
      <c r="E109" s="23">
        <v>1.0</v>
      </c>
      <c r="F109" s="23">
        <v>0.468219</v>
      </c>
    </row>
    <row r="110">
      <c r="A110" s="22" t="s">
        <v>33</v>
      </c>
      <c r="B110" s="22" t="s">
        <v>33</v>
      </c>
      <c r="C110" s="22" t="s">
        <v>19</v>
      </c>
      <c r="D110" s="22" t="s">
        <v>19</v>
      </c>
      <c r="E110" s="23">
        <v>1.0</v>
      </c>
      <c r="F110" s="23">
        <v>0.593678</v>
      </c>
    </row>
    <row r="111">
      <c r="A111" s="22" t="s">
        <v>33</v>
      </c>
      <c r="B111" s="22" t="s">
        <v>33</v>
      </c>
      <c r="C111" s="22" t="s">
        <v>19</v>
      </c>
      <c r="D111" s="22" t="s">
        <v>19</v>
      </c>
      <c r="E111" s="23">
        <v>1.0</v>
      </c>
      <c r="F111" s="23">
        <v>0.437999</v>
      </c>
    </row>
    <row r="112">
      <c r="A112" s="22" t="s">
        <v>33</v>
      </c>
      <c r="B112" s="22" t="s">
        <v>33</v>
      </c>
      <c r="C112" s="22" t="s">
        <v>19</v>
      </c>
      <c r="D112" s="22" t="s">
        <v>19</v>
      </c>
      <c r="E112" s="23">
        <v>1.0</v>
      </c>
      <c r="F112" s="23">
        <v>0.683556</v>
      </c>
    </row>
    <row r="113">
      <c r="A113" s="22" t="s">
        <v>33</v>
      </c>
      <c r="B113" s="22" t="s">
        <v>33</v>
      </c>
      <c r="C113" s="22" t="s">
        <v>19</v>
      </c>
      <c r="D113" s="22" t="s">
        <v>19</v>
      </c>
      <c r="E113" s="23">
        <v>1.0</v>
      </c>
      <c r="F113" s="23">
        <v>0.458308</v>
      </c>
    </row>
    <row r="114">
      <c r="A114" s="22" t="s">
        <v>33</v>
      </c>
      <c r="B114" s="22" t="s">
        <v>33</v>
      </c>
      <c r="C114" s="22" t="s">
        <v>19</v>
      </c>
      <c r="D114" s="22" t="s">
        <v>19</v>
      </c>
      <c r="E114" s="23">
        <v>1.0</v>
      </c>
      <c r="F114" s="23">
        <v>0.932962</v>
      </c>
    </row>
    <row r="115">
      <c r="A115" s="22" t="s">
        <v>33</v>
      </c>
      <c r="B115" s="22" t="s">
        <v>33</v>
      </c>
      <c r="C115" s="22" t="s">
        <v>19</v>
      </c>
      <c r="D115" s="22" t="s">
        <v>19</v>
      </c>
      <c r="E115" s="23">
        <v>1.0</v>
      </c>
      <c r="F115" s="23">
        <v>0.421004</v>
      </c>
    </row>
    <row r="116">
      <c r="A116" s="22" t="s">
        <v>33</v>
      </c>
      <c r="B116" s="22" t="s">
        <v>33</v>
      </c>
      <c r="C116" s="22" t="s">
        <v>19</v>
      </c>
      <c r="D116" s="22" t="s">
        <v>19</v>
      </c>
      <c r="E116" s="23">
        <v>1.0</v>
      </c>
      <c r="F116" s="23">
        <v>1.330679</v>
      </c>
    </row>
    <row r="117">
      <c r="A117" s="22" t="s">
        <v>33</v>
      </c>
      <c r="B117" s="22" t="s">
        <v>33</v>
      </c>
      <c r="C117" s="22" t="s">
        <v>19</v>
      </c>
      <c r="D117" s="22" t="s">
        <v>19</v>
      </c>
      <c r="E117" s="23">
        <v>1.0</v>
      </c>
      <c r="F117" s="23">
        <v>0.444629</v>
      </c>
    </row>
    <row r="118">
      <c r="A118" s="22" t="s">
        <v>33</v>
      </c>
      <c r="B118" s="22" t="s">
        <v>33</v>
      </c>
      <c r="C118" s="22" t="s">
        <v>19</v>
      </c>
      <c r="D118" s="22" t="s">
        <v>19</v>
      </c>
      <c r="E118" s="23">
        <v>1.0</v>
      </c>
      <c r="F118" s="23">
        <v>0.688054</v>
      </c>
    </row>
    <row r="119">
      <c r="A119" s="22" t="s">
        <v>33</v>
      </c>
      <c r="B119" s="22" t="s">
        <v>33</v>
      </c>
      <c r="C119" s="22" t="s">
        <v>19</v>
      </c>
      <c r="D119" s="22" t="s">
        <v>19</v>
      </c>
      <c r="E119" s="23">
        <v>1.0</v>
      </c>
      <c r="F119" s="23">
        <v>0.625745</v>
      </c>
    </row>
    <row r="120">
      <c r="A120" s="22" t="s">
        <v>33</v>
      </c>
      <c r="B120" s="22" t="s">
        <v>33</v>
      </c>
      <c r="C120" s="22" t="s">
        <v>19</v>
      </c>
      <c r="D120" s="22" t="s">
        <v>19</v>
      </c>
      <c r="E120" s="23">
        <v>1.0</v>
      </c>
      <c r="F120" s="23">
        <v>0.413797</v>
      </c>
    </row>
  </sheetData>
  <autoFilter ref="$A$1:$P$120">
    <sortState ref="A1:P120">
      <sortCondition ref="A1:A120"/>
      <sortCondition ref="B1:B120"/>
      <sortCondition ref="C1:C120"/>
    </sortState>
  </autoFilter>
  <mergeCells count="12">
    <mergeCell ref="H17:I17"/>
    <mergeCell ref="H18:I18"/>
    <mergeCell ref="H19:I19"/>
    <mergeCell ref="H20:I20"/>
    <mergeCell ref="H21:I21"/>
    <mergeCell ref="H4:I4"/>
    <mergeCell ref="H5:I5"/>
    <mergeCell ref="H6:I6"/>
    <mergeCell ref="H7:I7"/>
    <mergeCell ref="H8:I8"/>
    <mergeCell ref="H9:I9"/>
    <mergeCell ref="H16:I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34</v>
      </c>
      <c r="D2" s="22" t="s">
        <v>34</v>
      </c>
      <c r="E2" s="23">
        <v>1.0</v>
      </c>
      <c r="F2" s="23">
        <v>1.017464</v>
      </c>
    </row>
    <row r="3">
      <c r="A3" s="22" t="s">
        <v>18</v>
      </c>
      <c r="B3" s="22" t="s">
        <v>18</v>
      </c>
      <c r="C3" s="22" t="s">
        <v>34</v>
      </c>
      <c r="D3" s="22" t="s">
        <v>34</v>
      </c>
      <c r="E3" s="23">
        <v>1.0</v>
      </c>
      <c r="F3" s="23">
        <v>0.83666</v>
      </c>
      <c r="J3" s="24" t="s">
        <v>35</v>
      </c>
      <c r="K3" s="24" t="s">
        <v>21</v>
      </c>
      <c r="L3" s="24" t="s">
        <v>36</v>
      </c>
    </row>
    <row r="4">
      <c r="A4" s="22" t="s">
        <v>18</v>
      </c>
      <c r="B4" s="22" t="s">
        <v>18</v>
      </c>
      <c r="C4" s="22" t="s">
        <v>34</v>
      </c>
      <c r="D4" s="22" t="s">
        <v>34</v>
      </c>
      <c r="E4" s="23">
        <v>1.0</v>
      </c>
      <c r="F4" s="23">
        <v>0.976345</v>
      </c>
      <c r="H4" s="22" t="s">
        <v>22</v>
      </c>
      <c r="J4" s="25">
        <f>average(J5:J6)</f>
        <v>1.237846983</v>
      </c>
      <c r="K4" s="24">
        <v>2.0</v>
      </c>
      <c r="L4" s="25">
        <f>60-K4</f>
        <v>58</v>
      </c>
    </row>
    <row r="5">
      <c r="A5" s="22" t="s">
        <v>18</v>
      </c>
      <c r="B5" s="22" t="s">
        <v>18</v>
      </c>
      <c r="C5" s="22" t="s">
        <v>34</v>
      </c>
      <c r="D5" s="22" t="s">
        <v>34</v>
      </c>
      <c r="E5" s="23">
        <v>1.0</v>
      </c>
      <c r="F5" s="23">
        <v>1.269244</v>
      </c>
      <c r="H5" s="22" t="s">
        <v>23</v>
      </c>
      <c r="J5" s="25">
        <f>average(F58:F86)</f>
        <v>1.486056517</v>
      </c>
      <c r="K5" s="24">
        <v>1.0</v>
      </c>
      <c r="L5" s="25">
        <f t="shared" ref="L5:L6" si="1">30-K5</f>
        <v>29</v>
      </c>
    </row>
    <row r="6">
      <c r="A6" s="22" t="s">
        <v>18</v>
      </c>
      <c r="B6" s="22" t="s">
        <v>18</v>
      </c>
      <c r="C6" s="22" t="s">
        <v>34</v>
      </c>
      <c r="D6" s="22" t="s">
        <v>34</v>
      </c>
      <c r="E6" s="23">
        <v>1.0</v>
      </c>
      <c r="F6" s="23">
        <v>0.659921</v>
      </c>
      <c r="H6" s="22" t="s">
        <v>24</v>
      </c>
      <c r="J6" s="25">
        <f>average(F29:F57)</f>
        <v>0.9896374483</v>
      </c>
      <c r="K6" s="24">
        <v>1.0</v>
      </c>
      <c r="L6" s="25">
        <f t="shared" si="1"/>
        <v>29</v>
      </c>
    </row>
    <row r="7">
      <c r="A7" s="22" t="s">
        <v>18</v>
      </c>
      <c r="B7" s="22" t="s">
        <v>18</v>
      </c>
      <c r="C7" s="22" t="s">
        <v>34</v>
      </c>
      <c r="D7" s="22" t="s">
        <v>34</v>
      </c>
      <c r="E7" s="23">
        <v>1.0</v>
      </c>
      <c r="F7" s="23">
        <v>0.871444</v>
      </c>
      <c r="H7" s="22" t="s">
        <v>25</v>
      </c>
      <c r="J7" s="25">
        <f>average(J8:J9)</f>
        <v>1.026882305</v>
      </c>
      <c r="K7" s="24">
        <v>4.0</v>
      </c>
      <c r="L7" s="25">
        <f>60-K7</f>
        <v>56</v>
      </c>
    </row>
    <row r="8">
      <c r="A8" s="22" t="s">
        <v>18</v>
      </c>
      <c r="B8" s="22" t="s">
        <v>18</v>
      </c>
      <c r="C8" s="22" t="s">
        <v>34</v>
      </c>
      <c r="D8" s="22" t="s">
        <v>34</v>
      </c>
      <c r="E8" s="23">
        <v>1.0</v>
      </c>
      <c r="F8" s="23">
        <v>0.825147</v>
      </c>
      <c r="H8" s="22" t="s">
        <v>26</v>
      </c>
      <c r="J8" s="25">
        <f>average(F87:F115)</f>
        <v>1.055927276</v>
      </c>
      <c r="K8" s="24">
        <v>1.0</v>
      </c>
      <c r="L8" s="25">
        <f t="shared" ref="L8:L9" si="2">30-K8</f>
        <v>29</v>
      </c>
    </row>
    <row r="9">
      <c r="A9" s="22" t="s">
        <v>18</v>
      </c>
      <c r="B9" s="22" t="s">
        <v>18</v>
      </c>
      <c r="C9" s="22" t="s">
        <v>34</v>
      </c>
      <c r="D9" s="22" t="s">
        <v>34</v>
      </c>
      <c r="E9" s="23">
        <v>1.0</v>
      </c>
      <c r="F9" s="23">
        <v>2.048695</v>
      </c>
      <c r="H9" s="22" t="s">
        <v>27</v>
      </c>
      <c r="J9" s="25">
        <f>average(F31:F57)</f>
        <v>0.9978373333</v>
      </c>
      <c r="K9" s="24">
        <v>3.0</v>
      </c>
      <c r="L9" s="25">
        <f t="shared" si="2"/>
        <v>27</v>
      </c>
    </row>
    <row r="10">
      <c r="A10" s="22" t="s">
        <v>18</v>
      </c>
      <c r="B10" s="22" t="s">
        <v>18</v>
      </c>
      <c r="C10" s="22" t="s">
        <v>34</v>
      </c>
      <c r="D10" s="22" t="s">
        <v>34</v>
      </c>
      <c r="E10" s="23">
        <v>1.0</v>
      </c>
      <c r="F10" s="23">
        <v>0.748036</v>
      </c>
    </row>
    <row r="11">
      <c r="A11" s="22" t="s">
        <v>18</v>
      </c>
      <c r="B11" s="22" t="s">
        <v>18</v>
      </c>
      <c r="C11" s="22" t="s">
        <v>34</v>
      </c>
      <c r="D11" s="22" t="s">
        <v>34</v>
      </c>
      <c r="E11" s="23">
        <v>1.0</v>
      </c>
      <c r="F11" s="23">
        <v>0.680824</v>
      </c>
      <c r="H11" s="24" t="s">
        <v>12</v>
      </c>
      <c r="I11" s="24" t="s">
        <v>37</v>
      </c>
      <c r="J11" s="24" t="s">
        <v>38</v>
      </c>
    </row>
    <row r="12">
      <c r="A12" s="22" t="s">
        <v>18</v>
      </c>
      <c r="B12" s="22" t="s">
        <v>18</v>
      </c>
      <c r="C12" s="22" t="s">
        <v>34</v>
      </c>
      <c r="D12" s="22" t="s">
        <v>34</v>
      </c>
      <c r="E12" s="23">
        <v>1.0</v>
      </c>
      <c r="F12" s="23">
        <v>0.86877</v>
      </c>
      <c r="H12" s="24" t="s">
        <v>13</v>
      </c>
      <c r="I12" s="24" t="s">
        <v>39</v>
      </c>
      <c r="J12" s="24" t="s">
        <v>40</v>
      </c>
    </row>
    <row r="13">
      <c r="A13" s="22" t="s">
        <v>18</v>
      </c>
      <c r="B13" s="22" t="s">
        <v>18</v>
      </c>
      <c r="C13" s="22" t="s">
        <v>34</v>
      </c>
      <c r="D13" s="22" t="s">
        <v>34</v>
      </c>
      <c r="E13" s="23">
        <v>1.0</v>
      </c>
      <c r="F13" s="23">
        <v>0.563092</v>
      </c>
    </row>
    <row r="14">
      <c r="A14" s="22" t="s">
        <v>18</v>
      </c>
      <c r="B14" s="22" t="s">
        <v>18</v>
      </c>
      <c r="C14" s="22" t="s">
        <v>34</v>
      </c>
      <c r="D14" s="22" t="s">
        <v>34</v>
      </c>
      <c r="E14" s="23">
        <v>1.0</v>
      </c>
      <c r="F14" s="23">
        <v>0.650315</v>
      </c>
      <c r="I14" s="24" t="s">
        <v>28</v>
      </c>
      <c r="J14" s="24" t="s">
        <v>29</v>
      </c>
    </row>
    <row r="15">
      <c r="A15" s="22" t="s">
        <v>18</v>
      </c>
      <c r="B15" s="22" t="s">
        <v>18</v>
      </c>
      <c r="C15" s="22" t="s">
        <v>34</v>
      </c>
      <c r="D15" s="22" t="s">
        <v>34</v>
      </c>
      <c r="E15" s="23">
        <v>1.0</v>
      </c>
      <c r="F15" s="23">
        <v>0.571667</v>
      </c>
      <c r="H15" s="24" t="s">
        <v>30</v>
      </c>
      <c r="I15" s="25">
        <f>J5</f>
        <v>1.486056517</v>
      </c>
      <c r="J15" s="25">
        <f>J8</f>
        <v>1.055927276</v>
      </c>
    </row>
    <row r="16">
      <c r="A16" s="22" t="s">
        <v>18</v>
      </c>
      <c r="B16" s="22" t="s">
        <v>18</v>
      </c>
      <c r="C16" s="22" t="s">
        <v>34</v>
      </c>
      <c r="D16" s="22" t="s">
        <v>34</v>
      </c>
      <c r="E16" s="23">
        <v>1.0</v>
      </c>
      <c r="F16" s="23">
        <v>4.716851</v>
      </c>
      <c r="H16" s="24" t="s">
        <v>31</v>
      </c>
      <c r="I16" s="25">
        <f>J9</f>
        <v>0.9978373333</v>
      </c>
      <c r="J16" s="25">
        <f>J6</f>
        <v>0.9896374483</v>
      </c>
    </row>
    <row r="17">
      <c r="A17" s="22" t="s">
        <v>18</v>
      </c>
      <c r="B17" s="22" t="s">
        <v>18</v>
      </c>
      <c r="C17" s="22" t="s">
        <v>34</v>
      </c>
      <c r="D17" s="22" t="s">
        <v>34</v>
      </c>
      <c r="E17" s="23">
        <v>1.0</v>
      </c>
      <c r="F17" s="23">
        <v>1.909887</v>
      </c>
    </row>
    <row r="18">
      <c r="A18" s="22" t="s">
        <v>18</v>
      </c>
      <c r="B18" s="22" t="s">
        <v>18</v>
      </c>
      <c r="C18" s="22" t="s">
        <v>34</v>
      </c>
      <c r="D18" s="22" t="s">
        <v>34</v>
      </c>
      <c r="E18" s="23">
        <v>1.0</v>
      </c>
      <c r="F18" s="23">
        <v>0.664606</v>
      </c>
      <c r="H18" s="24" t="s">
        <v>32</v>
      </c>
    </row>
    <row r="19">
      <c r="A19" s="22" t="s">
        <v>18</v>
      </c>
      <c r="B19" s="22" t="s">
        <v>18</v>
      </c>
      <c r="C19" s="22" t="s">
        <v>34</v>
      </c>
      <c r="D19" s="22" t="s">
        <v>34</v>
      </c>
      <c r="E19" s="23">
        <v>1.0</v>
      </c>
      <c r="F19" s="23">
        <v>1.477286</v>
      </c>
      <c r="H19" s="22" t="s">
        <v>22</v>
      </c>
      <c r="J19" s="25">
        <f>58/60*100</f>
        <v>96.66666667</v>
      </c>
    </row>
    <row r="20">
      <c r="A20" s="22" t="s">
        <v>18</v>
      </c>
      <c r="B20" s="22" t="s">
        <v>18</v>
      </c>
      <c r="C20" s="22" t="s">
        <v>34</v>
      </c>
      <c r="D20" s="22" t="s">
        <v>34</v>
      </c>
      <c r="E20" s="23">
        <v>1.0</v>
      </c>
      <c r="F20" s="23">
        <v>0.895261</v>
      </c>
      <c r="H20" s="22" t="s">
        <v>23</v>
      </c>
      <c r="J20" s="25">
        <f t="shared" ref="J20:J21" si="3">29/30*100</f>
        <v>96.66666667</v>
      </c>
    </row>
    <row r="21">
      <c r="A21" s="22" t="s">
        <v>18</v>
      </c>
      <c r="B21" s="22" t="s">
        <v>18</v>
      </c>
      <c r="C21" s="22" t="s">
        <v>34</v>
      </c>
      <c r="D21" s="22" t="s">
        <v>34</v>
      </c>
      <c r="E21" s="23">
        <v>1.0</v>
      </c>
      <c r="F21" s="23">
        <v>0.724004</v>
      </c>
      <c r="H21" s="22" t="s">
        <v>24</v>
      </c>
      <c r="J21" s="25">
        <f t="shared" si="3"/>
        <v>96.66666667</v>
      </c>
    </row>
    <row r="22">
      <c r="A22" s="22" t="s">
        <v>18</v>
      </c>
      <c r="B22" s="22" t="s">
        <v>18</v>
      </c>
      <c r="C22" s="22" t="s">
        <v>34</v>
      </c>
      <c r="D22" s="22" t="s">
        <v>34</v>
      </c>
      <c r="E22" s="23">
        <v>1.0</v>
      </c>
      <c r="F22" s="23">
        <v>0.782305</v>
      </c>
      <c r="H22" s="22" t="s">
        <v>25</v>
      </c>
      <c r="J22" s="25">
        <f>56/60*100</f>
        <v>93.33333333</v>
      </c>
    </row>
    <row r="23">
      <c r="A23" s="22" t="s">
        <v>18</v>
      </c>
      <c r="B23" s="22" t="s">
        <v>18</v>
      </c>
      <c r="C23" s="22" t="s">
        <v>34</v>
      </c>
      <c r="D23" s="22" t="s">
        <v>34</v>
      </c>
      <c r="E23" s="23">
        <v>1.0</v>
      </c>
      <c r="F23" s="23">
        <v>1.665047</v>
      </c>
      <c r="H23" s="22" t="s">
        <v>26</v>
      </c>
      <c r="J23" s="25">
        <f>29/30*100</f>
        <v>96.66666667</v>
      </c>
    </row>
    <row r="24">
      <c r="A24" s="22" t="s">
        <v>18</v>
      </c>
      <c r="B24" s="22" t="s">
        <v>18</v>
      </c>
      <c r="C24" s="22" t="s">
        <v>34</v>
      </c>
      <c r="D24" s="22" t="s">
        <v>34</v>
      </c>
      <c r="E24" s="23">
        <v>1.0</v>
      </c>
      <c r="F24" s="23">
        <v>1.346773</v>
      </c>
      <c r="H24" s="22" t="s">
        <v>27</v>
      </c>
      <c r="J24" s="25">
        <f>27/30*100</f>
        <v>90</v>
      </c>
    </row>
    <row r="25">
      <c r="A25" s="22" t="s">
        <v>18</v>
      </c>
      <c r="B25" s="22" t="s">
        <v>18</v>
      </c>
      <c r="C25" s="22" t="s">
        <v>34</v>
      </c>
      <c r="D25" s="22" t="s">
        <v>34</v>
      </c>
      <c r="E25" s="23">
        <v>1.0</v>
      </c>
      <c r="F25" s="23">
        <v>0.787122</v>
      </c>
    </row>
    <row r="26">
      <c r="A26" s="22" t="s">
        <v>18</v>
      </c>
      <c r="B26" s="22" t="s">
        <v>18</v>
      </c>
      <c r="C26" s="22" t="s">
        <v>34</v>
      </c>
      <c r="D26" s="22" t="s">
        <v>34</v>
      </c>
      <c r="E26" s="23">
        <v>1.0</v>
      </c>
      <c r="F26" s="23">
        <v>1.313286</v>
      </c>
    </row>
    <row r="27">
      <c r="A27" s="22" t="s">
        <v>18</v>
      </c>
      <c r="B27" s="22" t="s">
        <v>18</v>
      </c>
      <c r="C27" s="22" t="s">
        <v>34</v>
      </c>
      <c r="D27" s="22" t="s">
        <v>34</v>
      </c>
      <c r="E27" s="23">
        <v>1.0</v>
      </c>
      <c r="F27" s="23">
        <v>1.444168</v>
      </c>
    </row>
    <row r="28">
      <c r="A28" s="22" t="s">
        <v>18</v>
      </c>
      <c r="B28" s="22" t="s">
        <v>18</v>
      </c>
      <c r="C28" s="22" t="s">
        <v>34</v>
      </c>
      <c r="D28" s="22" t="s">
        <v>34</v>
      </c>
      <c r="E28" s="23">
        <v>1.0</v>
      </c>
      <c r="F28" s="23">
        <v>3.938564</v>
      </c>
    </row>
    <row r="29">
      <c r="A29" s="22" t="s">
        <v>18</v>
      </c>
      <c r="B29" s="22" t="s">
        <v>33</v>
      </c>
      <c r="C29" s="22" t="s">
        <v>19</v>
      </c>
      <c r="D29" s="22" t="s">
        <v>34</v>
      </c>
      <c r="E29" s="23">
        <v>1.0</v>
      </c>
      <c r="F29" s="23">
        <v>0.770997</v>
      </c>
    </row>
    <row r="30">
      <c r="A30" s="22" t="s">
        <v>18</v>
      </c>
      <c r="B30" s="22" t="s">
        <v>33</v>
      </c>
      <c r="C30" s="22" t="s">
        <v>19</v>
      </c>
      <c r="D30" s="22" t="s">
        <v>34</v>
      </c>
      <c r="E30" s="23">
        <v>1.0</v>
      </c>
      <c r="F30" s="23">
        <v>0.986881</v>
      </c>
    </row>
    <row r="31">
      <c r="A31" s="22" t="s">
        <v>18</v>
      </c>
      <c r="B31" s="22" t="s">
        <v>33</v>
      </c>
      <c r="C31" s="22" t="s">
        <v>19</v>
      </c>
      <c r="D31" s="22" t="s">
        <v>34</v>
      </c>
      <c r="E31" s="23">
        <v>1.0</v>
      </c>
      <c r="F31" s="23">
        <v>0.843222</v>
      </c>
    </row>
    <row r="32">
      <c r="A32" s="22" t="s">
        <v>18</v>
      </c>
      <c r="B32" s="22" t="s">
        <v>33</v>
      </c>
      <c r="C32" s="22" t="s">
        <v>19</v>
      </c>
      <c r="D32" s="22" t="s">
        <v>34</v>
      </c>
      <c r="E32" s="23">
        <v>1.0</v>
      </c>
      <c r="F32" s="23">
        <v>1.872995</v>
      </c>
    </row>
    <row r="33">
      <c r="A33" s="22" t="s">
        <v>18</v>
      </c>
      <c r="B33" s="22" t="s">
        <v>33</v>
      </c>
      <c r="C33" s="22" t="s">
        <v>19</v>
      </c>
      <c r="D33" s="22" t="s">
        <v>34</v>
      </c>
      <c r="E33" s="23">
        <v>1.0</v>
      </c>
      <c r="F33" s="23">
        <v>0.606895</v>
      </c>
    </row>
    <row r="34">
      <c r="A34" s="22" t="s">
        <v>18</v>
      </c>
      <c r="B34" s="22" t="s">
        <v>33</v>
      </c>
      <c r="C34" s="22" t="s">
        <v>19</v>
      </c>
      <c r="D34" s="22" t="s">
        <v>34</v>
      </c>
      <c r="E34" s="23">
        <v>1.0</v>
      </c>
      <c r="F34" s="23">
        <v>0.577077</v>
      </c>
    </row>
    <row r="35">
      <c r="A35" s="22" t="s">
        <v>18</v>
      </c>
      <c r="B35" s="22" t="s">
        <v>33</v>
      </c>
      <c r="C35" s="22" t="s">
        <v>19</v>
      </c>
      <c r="D35" s="22" t="s">
        <v>34</v>
      </c>
      <c r="E35" s="23">
        <v>1.0</v>
      </c>
      <c r="F35" s="23">
        <v>0.530517</v>
      </c>
    </row>
    <row r="36">
      <c r="A36" s="22" t="s">
        <v>18</v>
      </c>
      <c r="B36" s="22" t="s">
        <v>33</v>
      </c>
      <c r="C36" s="22" t="s">
        <v>19</v>
      </c>
      <c r="D36" s="22" t="s">
        <v>34</v>
      </c>
      <c r="E36" s="23">
        <v>1.0</v>
      </c>
      <c r="F36" s="23">
        <v>0.729018</v>
      </c>
    </row>
    <row r="37">
      <c r="A37" s="22" t="s">
        <v>18</v>
      </c>
      <c r="B37" s="22" t="s">
        <v>33</v>
      </c>
      <c r="C37" s="22" t="s">
        <v>19</v>
      </c>
      <c r="D37" s="22" t="s">
        <v>34</v>
      </c>
      <c r="E37" s="23">
        <v>1.0</v>
      </c>
      <c r="F37" s="23">
        <v>0.601865</v>
      </c>
    </row>
    <row r="38">
      <c r="A38" s="22" t="s">
        <v>18</v>
      </c>
      <c r="B38" s="22" t="s">
        <v>33</v>
      </c>
      <c r="C38" s="22" t="s">
        <v>19</v>
      </c>
      <c r="D38" s="22" t="s">
        <v>34</v>
      </c>
      <c r="E38" s="23">
        <v>1.0</v>
      </c>
      <c r="F38" s="23">
        <v>0.503531</v>
      </c>
    </row>
    <row r="39">
      <c r="A39" s="22" t="s">
        <v>18</v>
      </c>
      <c r="B39" s="22" t="s">
        <v>33</v>
      </c>
      <c r="C39" s="22" t="s">
        <v>19</v>
      </c>
      <c r="D39" s="22" t="s">
        <v>34</v>
      </c>
      <c r="E39" s="23">
        <v>1.0</v>
      </c>
      <c r="F39" s="23">
        <v>1.303451</v>
      </c>
    </row>
    <row r="40">
      <c r="A40" s="22" t="s">
        <v>18</v>
      </c>
      <c r="B40" s="22" t="s">
        <v>33</v>
      </c>
      <c r="C40" s="22" t="s">
        <v>19</v>
      </c>
      <c r="D40" s="22" t="s">
        <v>34</v>
      </c>
      <c r="E40" s="23">
        <v>1.0</v>
      </c>
      <c r="F40" s="23">
        <v>0.856517</v>
      </c>
    </row>
    <row r="41">
      <c r="A41" s="22" t="s">
        <v>18</v>
      </c>
      <c r="B41" s="22" t="s">
        <v>33</v>
      </c>
      <c r="C41" s="22" t="s">
        <v>19</v>
      </c>
      <c r="D41" s="22" t="s">
        <v>34</v>
      </c>
      <c r="E41" s="23">
        <v>1.0</v>
      </c>
      <c r="F41" s="23">
        <v>1.088495</v>
      </c>
    </row>
    <row r="42">
      <c r="A42" s="22" t="s">
        <v>18</v>
      </c>
      <c r="B42" s="22" t="s">
        <v>33</v>
      </c>
      <c r="C42" s="22" t="s">
        <v>19</v>
      </c>
      <c r="D42" s="22" t="s">
        <v>34</v>
      </c>
      <c r="E42" s="23">
        <v>1.0</v>
      </c>
      <c r="F42" s="23">
        <v>0.78266</v>
      </c>
    </row>
    <row r="43">
      <c r="A43" s="22" t="s">
        <v>18</v>
      </c>
      <c r="B43" s="22" t="s">
        <v>33</v>
      </c>
      <c r="C43" s="22" t="s">
        <v>19</v>
      </c>
      <c r="D43" s="22" t="s">
        <v>34</v>
      </c>
      <c r="E43" s="23">
        <v>1.0</v>
      </c>
      <c r="F43" s="23">
        <v>0.542529</v>
      </c>
    </row>
    <row r="44">
      <c r="A44" s="22" t="s">
        <v>18</v>
      </c>
      <c r="B44" s="22" t="s">
        <v>33</v>
      </c>
      <c r="C44" s="22" t="s">
        <v>19</v>
      </c>
      <c r="D44" s="22" t="s">
        <v>34</v>
      </c>
      <c r="E44" s="23">
        <v>1.0</v>
      </c>
      <c r="F44" s="23">
        <v>0.832423</v>
      </c>
    </row>
    <row r="45">
      <c r="A45" s="22" t="s">
        <v>18</v>
      </c>
      <c r="B45" s="22" t="s">
        <v>33</v>
      </c>
      <c r="C45" s="22" t="s">
        <v>19</v>
      </c>
      <c r="D45" s="22" t="s">
        <v>34</v>
      </c>
      <c r="E45" s="23">
        <v>1.0</v>
      </c>
      <c r="F45" s="23">
        <v>0.583341</v>
      </c>
    </row>
    <row r="46">
      <c r="A46" s="22" t="s">
        <v>18</v>
      </c>
      <c r="B46" s="22" t="s">
        <v>33</v>
      </c>
      <c r="C46" s="22" t="s">
        <v>19</v>
      </c>
      <c r="D46" s="22" t="s">
        <v>34</v>
      </c>
      <c r="E46" s="23">
        <v>1.0</v>
      </c>
      <c r="F46" s="23">
        <v>2.153037</v>
      </c>
    </row>
    <row r="47">
      <c r="A47" s="22" t="s">
        <v>18</v>
      </c>
      <c r="B47" s="22" t="s">
        <v>33</v>
      </c>
      <c r="C47" s="22" t="s">
        <v>19</v>
      </c>
      <c r="D47" s="22" t="s">
        <v>34</v>
      </c>
      <c r="E47" s="23">
        <v>1.0</v>
      </c>
      <c r="F47" s="23">
        <v>0.754749</v>
      </c>
    </row>
    <row r="48">
      <c r="A48" s="22" t="s">
        <v>18</v>
      </c>
      <c r="B48" s="22" t="s">
        <v>33</v>
      </c>
      <c r="C48" s="22" t="s">
        <v>19</v>
      </c>
      <c r="D48" s="22" t="s">
        <v>34</v>
      </c>
      <c r="E48" s="23">
        <v>1.0</v>
      </c>
      <c r="F48" s="23">
        <v>0.545639</v>
      </c>
    </row>
    <row r="49">
      <c r="A49" s="22" t="s">
        <v>18</v>
      </c>
      <c r="B49" s="22" t="s">
        <v>33</v>
      </c>
      <c r="C49" s="22" t="s">
        <v>19</v>
      </c>
      <c r="D49" s="22" t="s">
        <v>34</v>
      </c>
      <c r="E49" s="23">
        <v>1.0</v>
      </c>
      <c r="F49" s="23">
        <v>0.776659</v>
      </c>
    </row>
    <row r="50">
      <c r="A50" s="22" t="s">
        <v>18</v>
      </c>
      <c r="B50" s="22" t="s">
        <v>33</v>
      </c>
      <c r="C50" s="22" t="s">
        <v>19</v>
      </c>
      <c r="D50" s="22" t="s">
        <v>34</v>
      </c>
      <c r="E50" s="23">
        <v>1.0</v>
      </c>
      <c r="F50" s="23">
        <v>0.628181</v>
      </c>
    </row>
    <row r="51">
      <c r="A51" s="22" t="s">
        <v>18</v>
      </c>
      <c r="B51" s="22" t="s">
        <v>33</v>
      </c>
      <c r="C51" s="22" t="s">
        <v>19</v>
      </c>
      <c r="D51" s="22" t="s">
        <v>34</v>
      </c>
      <c r="E51" s="23">
        <v>1.0</v>
      </c>
      <c r="F51" s="23">
        <v>0.731028</v>
      </c>
    </row>
    <row r="52">
      <c r="A52" s="22" t="s">
        <v>18</v>
      </c>
      <c r="B52" s="22" t="s">
        <v>33</v>
      </c>
      <c r="C52" s="22" t="s">
        <v>19</v>
      </c>
      <c r="D52" s="22" t="s">
        <v>34</v>
      </c>
      <c r="E52" s="23">
        <v>1.0</v>
      </c>
      <c r="F52" s="23">
        <v>0.609701</v>
      </c>
    </row>
    <row r="53">
      <c r="A53" s="22" t="s">
        <v>18</v>
      </c>
      <c r="B53" s="22" t="s">
        <v>33</v>
      </c>
      <c r="C53" s="22" t="s">
        <v>19</v>
      </c>
      <c r="D53" s="22" t="s">
        <v>34</v>
      </c>
      <c r="E53" s="23">
        <v>1.0</v>
      </c>
      <c r="F53" s="23">
        <v>1.924269</v>
      </c>
    </row>
    <row r="54">
      <c r="A54" s="22" t="s">
        <v>18</v>
      </c>
      <c r="B54" s="22" t="s">
        <v>33</v>
      </c>
      <c r="C54" s="22" t="s">
        <v>19</v>
      </c>
      <c r="D54" s="22" t="s">
        <v>34</v>
      </c>
      <c r="E54" s="23">
        <v>1.0</v>
      </c>
      <c r="F54" s="23">
        <v>0.91334</v>
      </c>
    </row>
    <row r="55">
      <c r="A55" s="22" t="s">
        <v>18</v>
      </c>
      <c r="B55" s="22" t="s">
        <v>33</v>
      </c>
      <c r="C55" s="22" t="s">
        <v>19</v>
      </c>
      <c r="D55" s="22" t="s">
        <v>34</v>
      </c>
      <c r="E55" s="23">
        <v>1.0</v>
      </c>
      <c r="F55" s="23">
        <v>2.773368</v>
      </c>
    </row>
    <row r="56">
      <c r="A56" s="22" t="s">
        <v>18</v>
      </c>
      <c r="B56" s="22" t="s">
        <v>33</v>
      </c>
      <c r="C56" s="22" t="s">
        <v>19</v>
      </c>
      <c r="D56" s="22" t="s">
        <v>34</v>
      </c>
      <c r="E56" s="23">
        <v>1.0</v>
      </c>
      <c r="F56" s="23">
        <v>0.710382</v>
      </c>
    </row>
    <row r="57">
      <c r="A57" s="22" t="s">
        <v>18</v>
      </c>
      <c r="B57" s="22" t="s">
        <v>33</v>
      </c>
      <c r="C57" s="22" t="s">
        <v>19</v>
      </c>
      <c r="D57" s="22" t="s">
        <v>34</v>
      </c>
      <c r="E57" s="23">
        <v>1.0</v>
      </c>
      <c r="F57" s="23">
        <v>2.166719</v>
      </c>
    </row>
    <row r="58">
      <c r="A58" s="22" t="s">
        <v>33</v>
      </c>
      <c r="B58" s="22" t="s">
        <v>18</v>
      </c>
      <c r="C58" s="22" t="s">
        <v>19</v>
      </c>
      <c r="D58" s="22" t="s">
        <v>34</v>
      </c>
      <c r="E58" s="23">
        <v>1.0</v>
      </c>
      <c r="F58" s="23">
        <v>0.752151</v>
      </c>
    </row>
    <row r="59">
      <c r="A59" s="22" t="s">
        <v>33</v>
      </c>
      <c r="B59" s="22" t="s">
        <v>18</v>
      </c>
      <c r="C59" s="22" t="s">
        <v>19</v>
      </c>
      <c r="D59" s="22" t="s">
        <v>34</v>
      </c>
      <c r="E59" s="23">
        <v>1.0</v>
      </c>
      <c r="F59" s="23">
        <v>0.670077</v>
      </c>
    </row>
    <row r="60">
      <c r="A60" s="22" t="s">
        <v>33</v>
      </c>
      <c r="B60" s="22" t="s">
        <v>18</v>
      </c>
      <c r="C60" s="22" t="s">
        <v>19</v>
      </c>
      <c r="D60" s="22" t="s">
        <v>34</v>
      </c>
      <c r="E60" s="23">
        <v>1.0</v>
      </c>
      <c r="F60" s="23">
        <v>1.282989</v>
      </c>
    </row>
    <row r="61">
      <c r="A61" s="22" t="s">
        <v>33</v>
      </c>
      <c r="B61" s="22" t="s">
        <v>18</v>
      </c>
      <c r="C61" s="22" t="s">
        <v>19</v>
      </c>
      <c r="D61" s="22" t="s">
        <v>34</v>
      </c>
      <c r="E61" s="23">
        <v>1.0</v>
      </c>
      <c r="F61" s="23">
        <v>2.311344</v>
      </c>
    </row>
    <row r="62">
      <c r="A62" s="22" t="s">
        <v>33</v>
      </c>
      <c r="B62" s="22" t="s">
        <v>18</v>
      </c>
      <c r="C62" s="22" t="s">
        <v>19</v>
      </c>
      <c r="D62" s="22" t="s">
        <v>34</v>
      </c>
      <c r="E62" s="23">
        <v>1.0</v>
      </c>
      <c r="F62" s="23">
        <v>0.672277</v>
      </c>
    </row>
    <row r="63">
      <c r="A63" s="22" t="s">
        <v>33</v>
      </c>
      <c r="B63" s="22" t="s">
        <v>18</v>
      </c>
      <c r="C63" s="22" t="s">
        <v>19</v>
      </c>
      <c r="D63" s="22" t="s">
        <v>34</v>
      </c>
      <c r="E63" s="23">
        <v>1.0</v>
      </c>
      <c r="F63" s="23">
        <v>0.803911</v>
      </c>
    </row>
    <row r="64">
      <c r="A64" s="22" t="s">
        <v>33</v>
      </c>
      <c r="B64" s="22" t="s">
        <v>18</v>
      </c>
      <c r="C64" s="22" t="s">
        <v>19</v>
      </c>
      <c r="D64" s="22" t="s">
        <v>34</v>
      </c>
      <c r="E64" s="23">
        <v>1.0</v>
      </c>
      <c r="F64" s="23">
        <v>0.780286</v>
      </c>
    </row>
    <row r="65">
      <c r="A65" s="22" t="s">
        <v>33</v>
      </c>
      <c r="B65" s="22" t="s">
        <v>18</v>
      </c>
      <c r="C65" s="22" t="s">
        <v>19</v>
      </c>
      <c r="D65" s="22" t="s">
        <v>34</v>
      </c>
      <c r="E65" s="23">
        <v>1.0</v>
      </c>
      <c r="F65" s="23">
        <v>0.769746</v>
      </c>
    </row>
    <row r="66">
      <c r="A66" s="22" t="s">
        <v>33</v>
      </c>
      <c r="B66" s="22" t="s">
        <v>18</v>
      </c>
      <c r="C66" s="22" t="s">
        <v>19</v>
      </c>
      <c r="D66" s="22" t="s">
        <v>34</v>
      </c>
      <c r="E66" s="23">
        <v>1.0</v>
      </c>
      <c r="F66" s="23">
        <v>1.923986</v>
      </c>
    </row>
    <row r="67">
      <c r="A67" s="22" t="s">
        <v>33</v>
      </c>
      <c r="B67" s="22" t="s">
        <v>18</v>
      </c>
      <c r="C67" s="22" t="s">
        <v>19</v>
      </c>
      <c r="D67" s="22" t="s">
        <v>34</v>
      </c>
      <c r="E67" s="23">
        <v>1.0</v>
      </c>
      <c r="F67" s="23">
        <v>0.819982</v>
      </c>
    </row>
    <row r="68">
      <c r="A68" s="22" t="s">
        <v>33</v>
      </c>
      <c r="B68" s="22" t="s">
        <v>18</v>
      </c>
      <c r="C68" s="22" t="s">
        <v>19</v>
      </c>
      <c r="D68" s="22" t="s">
        <v>34</v>
      </c>
      <c r="E68" s="23">
        <v>1.0</v>
      </c>
      <c r="F68" s="23">
        <v>0.645515</v>
      </c>
    </row>
    <row r="69">
      <c r="A69" s="22" t="s">
        <v>33</v>
      </c>
      <c r="B69" s="22" t="s">
        <v>18</v>
      </c>
      <c r="C69" s="22" t="s">
        <v>19</v>
      </c>
      <c r="D69" s="22" t="s">
        <v>34</v>
      </c>
      <c r="E69" s="23">
        <v>1.0</v>
      </c>
      <c r="F69" s="23">
        <v>0.626472</v>
      </c>
    </row>
    <row r="70">
      <c r="A70" s="22" t="s">
        <v>33</v>
      </c>
      <c r="B70" s="22" t="s">
        <v>18</v>
      </c>
      <c r="C70" s="22" t="s">
        <v>19</v>
      </c>
      <c r="D70" s="22" t="s">
        <v>34</v>
      </c>
      <c r="E70" s="23">
        <v>1.0</v>
      </c>
      <c r="F70" s="23">
        <v>0.763659</v>
      </c>
    </row>
    <row r="71">
      <c r="A71" s="22" t="s">
        <v>33</v>
      </c>
      <c r="B71" s="22" t="s">
        <v>18</v>
      </c>
      <c r="C71" s="22" t="s">
        <v>19</v>
      </c>
      <c r="D71" s="22" t="s">
        <v>34</v>
      </c>
      <c r="E71" s="23">
        <v>1.0</v>
      </c>
      <c r="F71" s="23">
        <v>1.402561</v>
      </c>
    </row>
    <row r="72">
      <c r="A72" s="22" t="s">
        <v>33</v>
      </c>
      <c r="B72" s="22" t="s">
        <v>18</v>
      </c>
      <c r="C72" s="22" t="s">
        <v>19</v>
      </c>
      <c r="D72" s="22" t="s">
        <v>34</v>
      </c>
      <c r="E72" s="23">
        <v>1.0</v>
      </c>
      <c r="F72" s="23">
        <v>1.827584</v>
      </c>
    </row>
    <row r="73">
      <c r="A73" s="22" t="s">
        <v>33</v>
      </c>
      <c r="B73" s="22" t="s">
        <v>18</v>
      </c>
      <c r="C73" s="22" t="s">
        <v>19</v>
      </c>
      <c r="D73" s="22" t="s">
        <v>34</v>
      </c>
      <c r="E73" s="23">
        <v>1.0</v>
      </c>
      <c r="F73" s="23">
        <v>1.84532</v>
      </c>
    </row>
    <row r="74">
      <c r="A74" s="22" t="s">
        <v>33</v>
      </c>
      <c r="B74" s="22" t="s">
        <v>18</v>
      </c>
      <c r="C74" s="22" t="s">
        <v>19</v>
      </c>
      <c r="D74" s="22" t="s">
        <v>34</v>
      </c>
      <c r="E74" s="23">
        <v>1.0</v>
      </c>
      <c r="F74" s="23">
        <v>0.643477</v>
      </c>
    </row>
    <row r="75">
      <c r="A75" s="22" t="s">
        <v>33</v>
      </c>
      <c r="B75" s="22" t="s">
        <v>18</v>
      </c>
      <c r="C75" s="22" t="s">
        <v>19</v>
      </c>
      <c r="D75" s="22" t="s">
        <v>34</v>
      </c>
      <c r="E75" s="23">
        <v>1.0</v>
      </c>
      <c r="F75" s="23">
        <v>0.599803</v>
      </c>
    </row>
    <row r="76">
      <c r="A76" s="22" t="s">
        <v>33</v>
      </c>
      <c r="B76" s="22" t="s">
        <v>18</v>
      </c>
      <c r="C76" s="22" t="s">
        <v>19</v>
      </c>
      <c r="D76" s="22" t="s">
        <v>34</v>
      </c>
      <c r="E76" s="23">
        <v>1.0</v>
      </c>
      <c r="F76" s="23">
        <v>0.653703</v>
      </c>
    </row>
    <row r="77">
      <c r="A77" s="22" t="s">
        <v>33</v>
      </c>
      <c r="B77" s="22" t="s">
        <v>18</v>
      </c>
      <c r="C77" s="22" t="s">
        <v>19</v>
      </c>
      <c r="D77" s="22" t="s">
        <v>34</v>
      </c>
      <c r="E77" s="23">
        <v>1.0</v>
      </c>
      <c r="F77" s="23">
        <v>14.44658</v>
      </c>
    </row>
    <row r="78">
      <c r="A78" s="22" t="s">
        <v>33</v>
      </c>
      <c r="B78" s="22" t="s">
        <v>18</v>
      </c>
      <c r="C78" s="22" t="s">
        <v>19</v>
      </c>
      <c r="D78" s="22" t="s">
        <v>34</v>
      </c>
      <c r="E78" s="23">
        <v>1.0</v>
      </c>
      <c r="F78" s="23">
        <v>0.839568</v>
      </c>
    </row>
    <row r="79">
      <c r="A79" s="22" t="s">
        <v>33</v>
      </c>
      <c r="B79" s="22" t="s">
        <v>18</v>
      </c>
      <c r="C79" s="22" t="s">
        <v>19</v>
      </c>
      <c r="D79" s="22" t="s">
        <v>34</v>
      </c>
      <c r="E79" s="23">
        <v>1.0</v>
      </c>
      <c r="F79" s="23">
        <v>0.783014</v>
      </c>
    </row>
    <row r="80">
      <c r="A80" s="22" t="s">
        <v>33</v>
      </c>
      <c r="B80" s="22" t="s">
        <v>18</v>
      </c>
      <c r="C80" s="22" t="s">
        <v>19</v>
      </c>
      <c r="D80" s="22" t="s">
        <v>34</v>
      </c>
      <c r="E80" s="23">
        <v>1.0</v>
      </c>
      <c r="F80" s="23">
        <v>0.615875</v>
      </c>
    </row>
    <row r="81">
      <c r="A81" s="22" t="s">
        <v>33</v>
      </c>
      <c r="B81" s="22" t="s">
        <v>18</v>
      </c>
      <c r="C81" s="22" t="s">
        <v>19</v>
      </c>
      <c r="D81" s="22" t="s">
        <v>34</v>
      </c>
      <c r="E81" s="23">
        <v>1.0</v>
      </c>
      <c r="F81" s="23">
        <v>0.621266</v>
      </c>
    </row>
    <row r="82">
      <c r="A82" s="22" t="s">
        <v>33</v>
      </c>
      <c r="B82" s="22" t="s">
        <v>18</v>
      </c>
      <c r="C82" s="22" t="s">
        <v>19</v>
      </c>
      <c r="D82" s="22" t="s">
        <v>34</v>
      </c>
      <c r="E82" s="23">
        <v>1.0</v>
      </c>
      <c r="F82" s="23">
        <v>0.714916</v>
      </c>
    </row>
    <row r="83">
      <c r="A83" s="22" t="s">
        <v>33</v>
      </c>
      <c r="B83" s="22" t="s">
        <v>18</v>
      </c>
      <c r="C83" s="22" t="s">
        <v>19</v>
      </c>
      <c r="D83" s="22" t="s">
        <v>34</v>
      </c>
      <c r="E83" s="23">
        <v>1.0</v>
      </c>
      <c r="F83" s="23">
        <v>2.392544</v>
      </c>
    </row>
    <row r="84">
      <c r="A84" s="22" t="s">
        <v>33</v>
      </c>
      <c r="B84" s="22" t="s">
        <v>18</v>
      </c>
      <c r="C84" s="22" t="s">
        <v>19</v>
      </c>
      <c r="D84" s="22" t="s">
        <v>34</v>
      </c>
      <c r="E84" s="23">
        <v>1.0</v>
      </c>
      <c r="F84" s="23">
        <v>1.225413</v>
      </c>
    </row>
    <row r="85">
      <c r="A85" s="22" t="s">
        <v>33</v>
      </c>
      <c r="B85" s="22" t="s">
        <v>18</v>
      </c>
      <c r="C85" s="22" t="s">
        <v>19</v>
      </c>
      <c r="D85" s="22" t="s">
        <v>34</v>
      </c>
      <c r="E85" s="23">
        <v>1.0</v>
      </c>
      <c r="F85" s="23">
        <v>0.627511</v>
      </c>
    </row>
    <row r="86">
      <c r="A86" s="22" t="s">
        <v>33</v>
      </c>
      <c r="B86" s="22" t="s">
        <v>18</v>
      </c>
      <c r="C86" s="22" t="s">
        <v>19</v>
      </c>
      <c r="D86" s="22" t="s">
        <v>34</v>
      </c>
      <c r="E86" s="23">
        <v>1.0</v>
      </c>
      <c r="F86" s="23">
        <v>1.034109</v>
      </c>
    </row>
    <row r="87">
      <c r="A87" s="22" t="s">
        <v>33</v>
      </c>
      <c r="B87" s="22" t="s">
        <v>33</v>
      </c>
      <c r="C87" s="22" t="s">
        <v>34</v>
      </c>
      <c r="D87" s="22" t="s">
        <v>34</v>
      </c>
      <c r="E87" s="23">
        <v>1.0</v>
      </c>
      <c r="F87" s="23">
        <v>1.656583</v>
      </c>
    </row>
    <row r="88">
      <c r="A88" s="22" t="s">
        <v>33</v>
      </c>
      <c r="B88" s="22" t="s">
        <v>33</v>
      </c>
      <c r="C88" s="22" t="s">
        <v>34</v>
      </c>
      <c r="D88" s="22" t="s">
        <v>34</v>
      </c>
      <c r="E88" s="23">
        <v>1.0</v>
      </c>
      <c r="F88" s="23">
        <v>1.17885</v>
      </c>
    </row>
    <row r="89">
      <c r="A89" s="22" t="s">
        <v>33</v>
      </c>
      <c r="B89" s="22" t="s">
        <v>33</v>
      </c>
      <c r="C89" s="22" t="s">
        <v>34</v>
      </c>
      <c r="D89" s="22" t="s">
        <v>34</v>
      </c>
      <c r="E89" s="23">
        <v>1.0</v>
      </c>
      <c r="F89" s="23">
        <v>0.938925</v>
      </c>
    </row>
    <row r="90">
      <c r="A90" s="22" t="s">
        <v>33</v>
      </c>
      <c r="B90" s="22" t="s">
        <v>33</v>
      </c>
      <c r="C90" s="22" t="s">
        <v>34</v>
      </c>
      <c r="D90" s="22" t="s">
        <v>34</v>
      </c>
      <c r="E90" s="23">
        <v>1.0</v>
      </c>
      <c r="F90" s="23">
        <v>1.377719</v>
      </c>
    </row>
    <row r="91">
      <c r="A91" s="22" t="s">
        <v>33</v>
      </c>
      <c r="B91" s="22" t="s">
        <v>33</v>
      </c>
      <c r="C91" s="22" t="s">
        <v>34</v>
      </c>
      <c r="D91" s="22" t="s">
        <v>34</v>
      </c>
      <c r="E91" s="23">
        <v>1.0</v>
      </c>
      <c r="F91" s="23">
        <v>0.9716</v>
      </c>
    </row>
    <row r="92">
      <c r="A92" s="22" t="s">
        <v>33</v>
      </c>
      <c r="B92" s="22" t="s">
        <v>33</v>
      </c>
      <c r="C92" s="22" t="s">
        <v>34</v>
      </c>
      <c r="D92" s="22" t="s">
        <v>34</v>
      </c>
      <c r="E92" s="23">
        <v>1.0</v>
      </c>
      <c r="F92" s="23">
        <v>1.47098</v>
      </c>
    </row>
    <row r="93">
      <c r="A93" s="22" t="s">
        <v>33</v>
      </c>
      <c r="B93" s="22" t="s">
        <v>33</v>
      </c>
      <c r="C93" s="22" t="s">
        <v>34</v>
      </c>
      <c r="D93" s="22" t="s">
        <v>34</v>
      </c>
      <c r="E93" s="23">
        <v>1.0</v>
      </c>
      <c r="F93" s="23">
        <v>0.915999</v>
      </c>
    </row>
    <row r="94">
      <c r="A94" s="22" t="s">
        <v>33</v>
      </c>
      <c r="B94" s="22" t="s">
        <v>33</v>
      </c>
      <c r="C94" s="22" t="s">
        <v>34</v>
      </c>
      <c r="D94" s="22" t="s">
        <v>34</v>
      </c>
      <c r="E94" s="23">
        <v>1.0</v>
      </c>
      <c r="F94" s="23">
        <v>0.9276</v>
      </c>
    </row>
    <row r="95">
      <c r="A95" s="22" t="s">
        <v>33</v>
      </c>
      <c r="B95" s="22" t="s">
        <v>33</v>
      </c>
      <c r="C95" s="22" t="s">
        <v>34</v>
      </c>
      <c r="D95" s="22" t="s">
        <v>34</v>
      </c>
      <c r="E95" s="23">
        <v>1.0</v>
      </c>
      <c r="F95" s="23">
        <v>0.777404</v>
      </c>
    </row>
    <row r="96">
      <c r="A96" s="22" t="s">
        <v>33</v>
      </c>
      <c r="B96" s="22" t="s">
        <v>33</v>
      </c>
      <c r="C96" s="22" t="s">
        <v>34</v>
      </c>
      <c r="D96" s="22" t="s">
        <v>34</v>
      </c>
      <c r="E96" s="23">
        <v>1.0</v>
      </c>
      <c r="F96" s="23">
        <v>0.6826</v>
      </c>
    </row>
    <row r="97">
      <c r="A97" s="22" t="s">
        <v>33</v>
      </c>
      <c r="B97" s="22" t="s">
        <v>33</v>
      </c>
      <c r="C97" s="22" t="s">
        <v>34</v>
      </c>
      <c r="D97" s="22" t="s">
        <v>34</v>
      </c>
      <c r="E97" s="23">
        <v>1.0</v>
      </c>
      <c r="F97" s="23">
        <v>0.557859</v>
      </c>
    </row>
    <row r="98">
      <c r="A98" s="22" t="s">
        <v>33</v>
      </c>
      <c r="B98" s="22" t="s">
        <v>33</v>
      </c>
      <c r="C98" s="22" t="s">
        <v>34</v>
      </c>
      <c r="D98" s="22" t="s">
        <v>34</v>
      </c>
      <c r="E98" s="23">
        <v>1.0</v>
      </c>
      <c r="F98" s="23">
        <v>0.616036</v>
      </c>
    </row>
    <row r="99">
      <c r="A99" s="22" t="s">
        <v>33</v>
      </c>
      <c r="B99" s="22" t="s">
        <v>33</v>
      </c>
      <c r="C99" s="22" t="s">
        <v>34</v>
      </c>
      <c r="D99" s="22" t="s">
        <v>34</v>
      </c>
      <c r="E99" s="23">
        <v>1.0</v>
      </c>
      <c r="F99" s="23">
        <v>1.007271</v>
      </c>
    </row>
    <row r="100">
      <c r="A100" s="22" t="s">
        <v>33</v>
      </c>
      <c r="B100" s="22" t="s">
        <v>33</v>
      </c>
      <c r="C100" s="22" t="s">
        <v>34</v>
      </c>
      <c r="D100" s="22" t="s">
        <v>34</v>
      </c>
      <c r="E100" s="23">
        <v>1.0</v>
      </c>
      <c r="F100" s="23">
        <v>0.775662</v>
      </c>
    </row>
    <row r="101">
      <c r="A101" s="22" t="s">
        <v>33</v>
      </c>
      <c r="B101" s="22" t="s">
        <v>33</v>
      </c>
      <c r="C101" s="22" t="s">
        <v>34</v>
      </c>
      <c r="D101" s="22" t="s">
        <v>34</v>
      </c>
      <c r="E101" s="23">
        <v>1.0</v>
      </c>
      <c r="F101" s="23">
        <v>1.438968</v>
      </c>
    </row>
    <row r="102">
      <c r="A102" s="22" t="s">
        <v>33</v>
      </c>
      <c r="B102" s="22" t="s">
        <v>33</v>
      </c>
      <c r="C102" s="22" t="s">
        <v>34</v>
      </c>
      <c r="D102" s="22" t="s">
        <v>34</v>
      </c>
      <c r="E102" s="23">
        <v>1.0</v>
      </c>
      <c r="F102" s="23">
        <v>3.041271</v>
      </c>
    </row>
    <row r="103">
      <c r="A103" s="22" t="s">
        <v>33</v>
      </c>
      <c r="B103" s="22" t="s">
        <v>33</v>
      </c>
      <c r="C103" s="22" t="s">
        <v>34</v>
      </c>
      <c r="D103" s="22" t="s">
        <v>34</v>
      </c>
      <c r="E103" s="23">
        <v>1.0</v>
      </c>
      <c r="F103" s="23">
        <v>1.127827</v>
      </c>
    </row>
    <row r="104">
      <c r="A104" s="22" t="s">
        <v>33</v>
      </c>
      <c r="B104" s="22" t="s">
        <v>33</v>
      </c>
      <c r="C104" s="22" t="s">
        <v>34</v>
      </c>
      <c r="D104" s="22" t="s">
        <v>34</v>
      </c>
      <c r="E104" s="23">
        <v>1.0</v>
      </c>
      <c r="F104" s="23">
        <v>0.691872</v>
      </c>
    </row>
    <row r="105">
      <c r="A105" s="22" t="s">
        <v>33</v>
      </c>
      <c r="B105" s="22" t="s">
        <v>33</v>
      </c>
      <c r="C105" s="22" t="s">
        <v>34</v>
      </c>
      <c r="D105" s="22" t="s">
        <v>34</v>
      </c>
      <c r="E105" s="23">
        <v>1.0</v>
      </c>
      <c r="F105" s="23">
        <v>0.666491</v>
      </c>
    </row>
    <row r="106">
      <c r="A106" s="22" t="s">
        <v>33</v>
      </c>
      <c r="B106" s="22" t="s">
        <v>33</v>
      </c>
      <c r="C106" s="22" t="s">
        <v>34</v>
      </c>
      <c r="D106" s="22" t="s">
        <v>34</v>
      </c>
      <c r="E106" s="23">
        <v>1.0</v>
      </c>
      <c r="F106" s="23">
        <v>0.661817</v>
      </c>
    </row>
    <row r="107">
      <c r="A107" s="22" t="s">
        <v>33</v>
      </c>
      <c r="B107" s="22" t="s">
        <v>33</v>
      </c>
      <c r="C107" s="22" t="s">
        <v>34</v>
      </c>
      <c r="D107" s="22" t="s">
        <v>34</v>
      </c>
      <c r="E107" s="23">
        <v>1.0</v>
      </c>
      <c r="F107" s="23">
        <v>1.327803</v>
      </c>
    </row>
    <row r="108">
      <c r="A108" s="22" t="s">
        <v>33</v>
      </c>
      <c r="B108" s="22" t="s">
        <v>33</v>
      </c>
      <c r="C108" s="22" t="s">
        <v>34</v>
      </c>
      <c r="D108" s="22" t="s">
        <v>34</v>
      </c>
      <c r="E108" s="23">
        <v>1.0</v>
      </c>
      <c r="F108" s="23">
        <v>2.338744</v>
      </c>
    </row>
    <row r="109">
      <c r="A109" s="22" t="s">
        <v>33</v>
      </c>
      <c r="B109" s="22" t="s">
        <v>33</v>
      </c>
      <c r="C109" s="22" t="s">
        <v>34</v>
      </c>
      <c r="D109" s="22" t="s">
        <v>34</v>
      </c>
      <c r="E109" s="23">
        <v>1.0</v>
      </c>
      <c r="F109" s="23">
        <v>0.761029</v>
      </c>
    </row>
    <row r="110">
      <c r="A110" s="22" t="s">
        <v>33</v>
      </c>
      <c r="B110" s="22" t="s">
        <v>33</v>
      </c>
      <c r="C110" s="22" t="s">
        <v>34</v>
      </c>
      <c r="D110" s="22" t="s">
        <v>34</v>
      </c>
      <c r="E110" s="23">
        <v>1.0</v>
      </c>
      <c r="F110" s="23">
        <v>0.671454</v>
      </c>
    </row>
    <row r="111">
      <c r="A111" s="22" t="s">
        <v>33</v>
      </c>
      <c r="B111" s="22" t="s">
        <v>33</v>
      </c>
      <c r="C111" s="22" t="s">
        <v>34</v>
      </c>
      <c r="D111" s="22" t="s">
        <v>34</v>
      </c>
      <c r="E111" s="23">
        <v>1.0</v>
      </c>
      <c r="F111" s="23">
        <v>0.796673</v>
      </c>
    </row>
    <row r="112">
      <c r="A112" s="22" t="s">
        <v>33</v>
      </c>
      <c r="B112" s="22" t="s">
        <v>33</v>
      </c>
      <c r="C112" s="22" t="s">
        <v>34</v>
      </c>
      <c r="D112" s="22" t="s">
        <v>34</v>
      </c>
      <c r="E112" s="23">
        <v>1.0</v>
      </c>
      <c r="F112" s="23">
        <v>0.926337</v>
      </c>
    </row>
    <row r="113">
      <c r="A113" s="22" t="s">
        <v>33</v>
      </c>
      <c r="B113" s="22" t="s">
        <v>33</v>
      </c>
      <c r="C113" s="22" t="s">
        <v>34</v>
      </c>
      <c r="D113" s="22" t="s">
        <v>34</v>
      </c>
      <c r="E113" s="23">
        <v>1.0</v>
      </c>
      <c r="F113" s="23">
        <v>0.704683</v>
      </c>
    </row>
    <row r="114">
      <c r="A114" s="22" t="s">
        <v>33</v>
      </c>
      <c r="B114" s="22" t="s">
        <v>33</v>
      </c>
      <c r="C114" s="22" t="s">
        <v>34</v>
      </c>
      <c r="D114" s="22" t="s">
        <v>34</v>
      </c>
      <c r="E114" s="23">
        <v>1.0</v>
      </c>
      <c r="F114" s="23">
        <v>0.626046</v>
      </c>
    </row>
    <row r="115">
      <c r="A115" s="22" t="s">
        <v>33</v>
      </c>
      <c r="B115" s="22" t="s">
        <v>33</v>
      </c>
      <c r="C115" s="22" t="s">
        <v>34</v>
      </c>
      <c r="D115" s="22" t="s">
        <v>34</v>
      </c>
      <c r="E115" s="23">
        <v>1.0</v>
      </c>
      <c r="F115" s="23">
        <v>0.985788</v>
      </c>
    </row>
  </sheetData>
  <autoFilter ref="$A$1:$F$115">
    <sortState ref="A1:F115">
      <sortCondition ref="A1:A115"/>
      <sortCondition ref="B1:B115"/>
      <sortCondition ref="C1:C115"/>
    </sortState>
  </autoFilter>
  <mergeCells count="12">
    <mergeCell ref="H21:I21"/>
    <mergeCell ref="H22:I22"/>
    <mergeCell ref="H23:I23"/>
    <mergeCell ref="H24:I24"/>
    <mergeCell ref="H4:I4"/>
    <mergeCell ref="H5:I5"/>
    <mergeCell ref="H6:I6"/>
    <mergeCell ref="H7:I7"/>
    <mergeCell ref="H8:I8"/>
    <mergeCell ref="H9:I9"/>
    <mergeCell ref="H20:I20"/>
    <mergeCell ref="H19:I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  <c r="G1" s="22"/>
      <c r="H1" s="22"/>
      <c r="I1" s="22"/>
      <c r="J1" s="21" t="s">
        <v>20</v>
      </c>
      <c r="K1" s="24" t="s">
        <v>21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</row>
    <row r="2">
      <c r="A2" s="22" t="s">
        <v>18</v>
      </c>
      <c r="B2" s="22" t="s">
        <v>18</v>
      </c>
      <c r="C2" s="22" t="s">
        <v>19</v>
      </c>
      <c r="D2" s="22" t="s">
        <v>19</v>
      </c>
      <c r="E2" s="23">
        <v>1.0</v>
      </c>
      <c r="F2" s="23">
        <v>0.456999</v>
      </c>
      <c r="G2" s="22"/>
      <c r="H2" s="22" t="s">
        <v>22</v>
      </c>
      <c r="J2" s="25">
        <f>average(J3:J4)</f>
        <v>0.7405550167</v>
      </c>
      <c r="M2" s="23"/>
      <c r="N2" s="23"/>
      <c r="O2" s="23"/>
      <c r="P2" s="26"/>
      <c r="Q2" s="26"/>
      <c r="R2" s="26"/>
      <c r="S2" s="26"/>
      <c r="T2" s="26"/>
      <c r="U2" s="26"/>
      <c r="V2" s="26"/>
      <c r="W2" s="26"/>
      <c r="X2" s="23"/>
      <c r="Y2" s="26"/>
      <c r="Z2" s="26"/>
      <c r="AA2" s="26"/>
      <c r="AB2" s="26"/>
      <c r="AC2" s="26"/>
      <c r="AD2" s="26"/>
      <c r="AE2" s="26"/>
      <c r="AF2" s="26"/>
      <c r="AG2" s="23"/>
      <c r="AH2" s="23"/>
      <c r="AI2" s="23"/>
      <c r="AJ2" s="23"/>
      <c r="AK2" s="23"/>
      <c r="AL2" s="23"/>
      <c r="AM2" s="26"/>
      <c r="AN2" s="26"/>
      <c r="AO2" s="26"/>
      <c r="AP2" s="26"/>
      <c r="AQ2" s="23"/>
      <c r="AR2" s="23"/>
      <c r="AS2" s="23"/>
      <c r="AT2" s="23"/>
      <c r="AU2" s="26"/>
      <c r="AV2" s="26"/>
      <c r="AW2" s="26"/>
      <c r="AX2" s="26"/>
      <c r="AY2" s="26"/>
      <c r="AZ2" s="26"/>
      <c r="BA2" s="26"/>
      <c r="BB2" s="26"/>
      <c r="BC2" s="22"/>
      <c r="BD2" s="23"/>
      <c r="BE2" s="23"/>
      <c r="BF2" s="22"/>
      <c r="BG2" s="22"/>
      <c r="BH2" s="23"/>
      <c r="BI2" s="23"/>
      <c r="BJ2" s="22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3"/>
      <c r="CI2" s="23"/>
      <c r="CJ2" s="22"/>
      <c r="CK2" s="22"/>
      <c r="CM2" s="22"/>
      <c r="CN2" s="23"/>
      <c r="CO2" s="22"/>
    </row>
    <row r="3">
      <c r="A3" s="22" t="s">
        <v>18</v>
      </c>
      <c r="B3" s="22" t="s">
        <v>18</v>
      </c>
      <c r="C3" s="22" t="s">
        <v>19</v>
      </c>
      <c r="D3" s="22" t="s">
        <v>19</v>
      </c>
      <c r="E3" s="23">
        <v>1.0</v>
      </c>
      <c r="F3" s="23">
        <v>0.614896</v>
      </c>
      <c r="G3" s="22"/>
      <c r="H3" s="22" t="s">
        <v>23</v>
      </c>
      <c r="J3" s="25">
        <f>average(F2:F31)</f>
        <v>0.7291248</v>
      </c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3"/>
      <c r="Y3" s="26"/>
      <c r="Z3" s="26"/>
      <c r="AA3" s="26"/>
      <c r="AB3" s="26"/>
      <c r="AC3" s="26"/>
      <c r="AD3" s="26"/>
      <c r="AE3" s="26"/>
      <c r="AF3" s="26"/>
      <c r="AG3" s="23"/>
      <c r="AH3" s="23"/>
      <c r="AI3" s="23"/>
      <c r="AJ3" s="23"/>
      <c r="AK3" s="23"/>
      <c r="AL3" s="23"/>
      <c r="AM3" s="26"/>
      <c r="AN3" s="26"/>
      <c r="AO3" s="26"/>
      <c r="AP3" s="26"/>
      <c r="AQ3" s="23"/>
      <c r="AR3" s="23"/>
      <c r="AS3" s="23"/>
      <c r="AT3" s="23"/>
      <c r="AU3" s="26"/>
      <c r="AV3" s="26"/>
      <c r="AW3" s="26"/>
      <c r="AX3" s="26"/>
      <c r="AY3" s="26"/>
      <c r="AZ3" s="26"/>
      <c r="BA3" s="26"/>
      <c r="BB3" s="26"/>
      <c r="BC3" s="22"/>
      <c r="BD3" s="23"/>
      <c r="BE3" s="23"/>
      <c r="BF3" s="22"/>
      <c r="BG3" s="22"/>
      <c r="BH3" s="23"/>
      <c r="BI3" s="23"/>
      <c r="BJ3" s="22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3"/>
      <c r="CI3" s="23"/>
      <c r="CJ3" s="22"/>
      <c r="CK3" s="22"/>
      <c r="CM3" s="22"/>
      <c r="CN3" s="23"/>
      <c r="CO3" s="22"/>
    </row>
    <row r="4">
      <c r="A4" s="22" t="s">
        <v>18</v>
      </c>
      <c r="B4" s="22" t="s">
        <v>18</v>
      </c>
      <c r="C4" s="22" t="s">
        <v>19</v>
      </c>
      <c r="D4" s="22" t="s">
        <v>19</v>
      </c>
      <c r="E4" s="23">
        <v>1.0</v>
      </c>
      <c r="F4" s="23">
        <v>0.417294</v>
      </c>
      <c r="G4" s="22"/>
      <c r="H4" s="22" t="s">
        <v>24</v>
      </c>
      <c r="J4" s="25">
        <f>average(F91:F120)</f>
        <v>0.7519852333</v>
      </c>
      <c r="M4" s="23"/>
      <c r="N4" s="23"/>
      <c r="O4" s="23"/>
      <c r="P4" s="26"/>
      <c r="Q4" s="26"/>
      <c r="R4" s="26"/>
      <c r="S4" s="26"/>
      <c r="T4" s="26"/>
      <c r="U4" s="26"/>
      <c r="V4" s="26"/>
      <c r="W4" s="26"/>
      <c r="X4" s="23"/>
      <c r="Y4" s="26"/>
      <c r="Z4" s="26"/>
      <c r="AA4" s="26"/>
      <c r="AB4" s="26"/>
      <c r="AC4" s="26"/>
      <c r="AD4" s="26"/>
      <c r="AE4" s="26"/>
      <c r="AF4" s="26"/>
      <c r="AG4" s="23"/>
      <c r="AH4" s="23"/>
      <c r="AI4" s="23"/>
      <c r="AJ4" s="23"/>
      <c r="AK4" s="23"/>
      <c r="AL4" s="23"/>
      <c r="AM4" s="26"/>
      <c r="AN4" s="26"/>
      <c r="AO4" s="26"/>
      <c r="AP4" s="26"/>
      <c r="AQ4" s="23"/>
      <c r="AR4" s="23"/>
      <c r="AS4" s="23"/>
      <c r="AT4" s="23"/>
      <c r="AU4" s="26"/>
      <c r="AV4" s="26"/>
      <c r="AW4" s="26"/>
      <c r="AX4" s="26"/>
      <c r="AY4" s="26"/>
      <c r="AZ4" s="26"/>
      <c r="BA4" s="26"/>
      <c r="BB4" s="26"/>
      <c r="BC4" s="22"/>
      <c r="BD4" s="23"/>
      <c r="BE4" s="23"/>
      <c r="BF4" s="22"/>
      <c r="BG4" s="22"/>
      <c r="BH4" s="23"/>
      <c r="BI4" s="23"/>
      <c r="BJ4" s="22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3"/>
      <c r="CI4" s="23"/>
      <c r="CJ4" s="22"/>
      <c r="CK4" s="22"/>
      <c r="CM4" s="22"/>
      <c r="CN4" s="23"/>
      <c r="CO4" s="22"/>
    </row>
    <row r="5">
      <c r="A5" s="22" t="s">
        <v>18</v>
      </c>
      <c r="B5" s="22" t="s">
        <v>18</v>
      </c>
      <c r="C5" s="22" t="s">
        <v>19</v>
      </c>
      <c r="D5" s="22" t="s">
        <v>19</v>
      </c>
      <c r="E5" s="23">
        <v>1.0</v>
      </c>
      <c r="F5" s="23">
        <v>1.903615</v>
      </c>
      <c r="G5" s="22"/>
      <c r="H5" s="22" t="s">
        <v>25</v>
      </c>
      <c r="J5" s="25">
        <f>average(J6:J7)</f>
        <v>0.7489221489</v>
      </c>
      <c r="K5" s="24">
        <v>1.0</v>
      </c>
      <c r="M5" s="23"/>
      <c r="N5" s="23"/>
      <c r="O5" s="23"/>
      <c r="P5" s="26"/>
      <c r="Q5" s="26"/>
      <c r="R5" s="26"/>
      <c r="S5" s="26"/>
      <c r="T5" s="26"/>
      <c r="U5" s="26"/>
      <c r="V5" s="26"/>
      <c r="W5" s="26"/>
      <c r="X5" s="23"/>
      <c r="Y5" s="26"/>
      <c r="Z5" s="26"/>
      <c r="AA5" s="26"/>
      <c r="AB5" s="26"/>
      <c r="AC5" s="26"/>
      <c r="AD5" s="26"/>
      <c r="AE5" s="26"/>
      <c r="AF5" s="26"/>
      <c r="AG5" s="23"/>
      <c r="AH5" s="23"/>
      <c r="AI5" s="23"/>
      <c r="AJ5" s="23"/>
      <c r="AK5" s="23"/>
      <c r="AL5" s="23"/>
      <c r="AM5" s="26"/>
      <c r="AN5" s="26"/>
      <c r="AO5" s="26"/>
      <c r="AP5" s="26"/>
      <c r="AQ5" s="23"/>
      <c r="AR5" s="23"/>
      <c r="AS5" s="23"/>
      <c r="AT5" s="23"/>
      <c r="AU5" s="26"/>
      <c r="AV5" s="26"/>
      <c r="AW5" s="26"/>
      <c r="AX5" s="26"/>
      <c r="AY5" s="26"/>
      <c r="AZ5" s="26"/>
      <c r="BA5" s="26"/>
      <c r="BB5" s="26"/>
      <c r="BC5" s="22"/>
      <c r="BD5" s="23"/>
      <c r="BE5" s="23"/>
      <c r="BF5" s="22"/>
      <c r="BG5" s="22"/>
      <c r="BH5" s="23"/>
      <c r="BI5" s="23"/>
      <c r="BJ5" s="22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3"/>
      <c r="CI5" s="23"/>
      <c r="CJ5" s="22"/>
      <c r="CK5" s="22"/>
      <c r="CM5" s="22"/>
      <c r="CN5" s="23"/>
      <c r="CO5" s="22"/>
    </row>
    <row r="6">
      <c r="A6" s="22" t="s">
        <v>18</v>
      </c>
      <c r="B6" s="22" t="s">
        <v>18</v>
      </c>
      <c r="C6" s="22" t="s">
        <v>19</v>
      </c>
      <c r="D6" s="22" t="s">
        <v>19</v>
      </c>
      <c r="E6" s="23">
        <v>1.0</v>
      </c>
      <c r="F6" s="23">
        <v>0.674356</v>
      </c>
      <c r="G6" s="22"/>
      <c r="H6" s="22" t="s">
        <v>26</v>
      </c>
      <c r="J6" s="25">
        <f>average(F32:F60)</f>
        <v>0.784461931</v>
      </c>
      <c r="K6" s="24">
        <v>1.0</v>
      </c>
      <c r="M6" s="23"/>
      <c r="N6" s="23"/>
      <c r="O6" s="23"/>
      <c r="P6" s="26"/>
      <c r="Q6" s="26"/>
      <c r="R6" s="26"/>
      <c r="S6" s="26"/>
      <c r="T6" s="26"/>
      <c r="U6" s="26"/>
      <c r="V6" s="26"/>
      <c r="W6" s="26"/>
      <c r="X6" s="23"/>
      <c r="Y6" s="26"/>
      <c r="Z6" s="26"/>
      <c r="AA6" s="26"/>
      <c r="AB6" s="26"/>
      <c r="AC6" s="26"/>
      <c r="AD6" s="26"/>
      <c r="AE6" s="26"/>
      <c r="AF6" s="26"/>
      <c r="AG6" s="23"/>
      <c r="AH6" s="23"/>
      <c r="AI6" s="23"/>
      <c r="AJ6" s="23"/>
      <c r="AK6" s="23"/>
      <c r="AL6" s="23"/>
      <c r="AM6" s="26"/>
      <c r="AN6" s="26"/>
      <c r="AO6" s="26"/>
      <c r="AP6" s="26"/>
      <c r="AQ6" s="23"/>
      <c r="AR6" s="23"/>
      <c r="AS6" s="23"/>
      <c r="AT6" s="23"/>
      <c r="AU6" s="26"/>
      <c r="AV6" s="26"/>
      <c r="AW6" s="26"/>
      <c r="AX6" s="26"/>
      <c r="AY6" s="26"/>
      <c r="AZ6" s="26"/>
      <c r="BA6" s="26"/>
      <c r="BB6" s="26"/>
      <c r="BC6" s="22"/>
      <c r="BD6" s="23"/>
      <c r="BE6" s="23"/>
      <c r="BF6" s="22"/>
      <c r="BG6" s="22"/>
      <c r="BH6" s="23"/>
      <c r="BI6" s="23"/>
      <c r="BJ6" s="22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3"/>
      <c r="CI6" s="23"/>
      <c r="CJ6" s="22"/>
      <c r="CK6" s="22"/>
      <c r="CM6" s="22"/>
      <c r="CN6" s="23"/>
      <c r="CO6" s="22"/>
    </row>
    <row r="7">
      <c r="A7" s="22" t="s">
        <v>18</v>
      </c>
      <c r="B7" s="22" t="s">
        <v>18</v>
      </c>
      <c r="C7" s="22" t="s">
        <v>19</v>
      </c>
      <c r="D7" s="22" t="s">
        <v>19</v>
      </c>
      <c r="E7" s="23">
        <v>1.0</v>
      </c>
      <c r="F7" s="23">
        <v>0.430649</v>
      </c>
      <c r="G7" s="22"/>
      <c r="H7" s="22" t="s">
        <v>27</v>
      </c>
      <c r="J7" s="25">
        <f>average(F61:F90)</f>
        <v>0.7133823667</v>
      </c>
      <c r="M7" s="23"/>
      <c r="N7" s="23"/>
      <c r="O7" s="23"/>
      <c r="P7" s="26"/>
      <c r="Q7" s="26"/>
      <c r="R7" s="26"/>
      <c r="S7" s="26"/>
      <c r="T7" s="26"/>
      <c r="U7" s="26"/>
      <c r="V7" s="26"/>
      <c r="W7" s="26"/>
      <c r="X7" s="23"/>
      <c r="Y7" s="26"/>
      <c r="Z7" s="26"/>
      <c r="AA7" s="26"/>
      <c r="AB7" s="26"/>
      <c r="AC7" s="26"/>
      <c r="AD7" s="26"/>
      <c r="AE7" s="26"/>
      <c r="AF7" s="26"/>
      <c r="AG7" s="23"/>
      <c r="AH7" s="23"/>
      <c r="AI7" s="23"/>
      <c r="AJ7" s="23"/>
      <c r="AK7" s="23"/>
      <c r="AL7" s="23"/>
      <c r="AM7" s="26"/>
      <c r="AN7" s="26"/>
      <c r="AO7" s="26"/>
      <c r="AP7" s="26"/>
      <c r="AQ7" s="23"/>
      <c r="AR7" s="23"/>
      <c r="AS7" s="23"/>
      <c r="AT7" s="23"/>
      <c r="AU7" s="26"/>
      <c r="AV7" s="26"/>
      <c r="AW7" s="26"/>
      <c r="AX7" s="26"/>
      <c r="AY7" s="26"/>
      <c r="AZ7" s="26"/>
      <c r="BA7" s="26"/>
      <c r="BB7" s="26"/>
      <c r="BC7" s="22"/>
      <c r="BD7" s="23"/>
      <c r="BE7" s="23"/>
      <c r="BF7" s="22"/>
      <c r="BG7" s="22"/>
      <c r="BH7" s="23"/>
      <c r="BI7" s="23"/>
      <c r="BJ7" s="22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3"/>
      <c r="CI7" s="23"/>
      <c r="CJ7" s="22"/>
      <c r="CK7" s="22"/>
      <c r="CM7" s="22"/>
      <c r="CN7" s="23"/>
      <c r="CO7" s="22"/>
    </row>
    <row r="8">
      <c r="A8" s="22" t="s">
        <v>18</v>
      </c>
      <c r="B8" s="22" t="s">
        <v>18</v>
      </c>
      <c r="C8" s="22" t="s">
        <v>19</v>
      </c>
      <c r="D8" s="22" t="s">
        <v>19</v>
      </c>
      <c r="E8" s="23">
        <v>1.0</v>
      </c>
      <c r="F8" s="23">
        <v>0.50237</v>
      </c>
      <c r="G8" s="22"/>
      <c r="K8" s="26"/>
      <c r="L8" s="23"/>
      <c r="M8" s="23"/>
      <c r="N8" s="23"/>
      <c r="O8" s="23"/>
      <c r="P8" s="26"/>
      <c r="Q8" s="26"/>
      <c r="R8" s="26"/>
      <c r="S8" s="26"/>
      <c r="T8" s="26"/>
      <c r="U8" s="26"/>
      <c r="V8" s="26"/>
      <c r="W8" s="26"/>
      <c r="X8" s="23"/>
      <c r="Y8" s="26"/>
      <c r="Z8" s="26"/>
      <c r="AA8" s="26"/>
      <c r="AB8" s="26"/>
      <c r="AC8" s="26"/>
      <c r="AD8" s="26"/>
      <c r="AE8" s="26"/>
      <c r="AF8" s="26"/>
      <c r="AG8" s="23"/>
      <c r="AH8" s="23"/>
      <c r="AI8" s="23"/>
      <c r="AJ8" s="23"/>
      <c r="AK8" s="23"/>
      <c r="AL8" s="23"/>
      <c r="AM8" s="26"/>
      <c r="AN8" s="26"/>
      <c r="AO8" s="26"/>
      <c r="AP8" s="26"/>
      <c r="AQ8" s="23"/>
      <c r="AR8" s="23"/>
      <c r="AS8" s="23"/>
      <c r="AT8" s="23"/>
      <c r="AU8" s="26"/>
      <c r="AV8" s="26"/>
      <c r="AW8" s="26"/>
      <c r="AX8" s="26"/>
      <c r="AY8" s="26"/>
      <c r="AZ8" s="26"/>
      <c r="BA8" s="26"/>
      <c r="BB8" s="26"/>
      <c r="BC8" s="22"/>
      <c r="BD8" s="23"/>
      <c r="BE8" s="23"/>
      <c r="BF8" s="22"/>
      <c r="BG8" s="22"/>
      <c r="BH8" s="23"/>
      <c r="BI8" s="23"/>
      <c r="BJ8" s="22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3"/>
      <c r="CI8" s="23"/>
      <c r="CJ8" s="22"/>
      <c r="CK8" s="22"/>
      <c r="CM8" s="22"/>
      <c r="CN8" s="23"/>
      <c r="CO8" s="22"/>
    </row>
    <row r="9">
      <c r="A9" s="22" t="s">
        <v>18</v>
      </c>
      <c r="B9" s="22" t="s">
        <v>18</v>
      </c>
      <c r="C9" s="22" t="s">
        <v>19</v>
      </c>
      <c r="D9" s="22" t="s">
        <v>19</v>
      </c>
      <c r="E9" s="23">
        <v>1.0</v>
      </c>
      <c r="F9" s="23">
        <v>0.578669</v>
      </c>
      <c r="G9" s="22"/>
      <c r="I9" s="24" t="s">
        <v>28</v>
      </c>
      <c r="J9" s="24" t="s">
        <v>29</v>
      </c>
      <c r="K9" s="26"/>
      <c r="L9" s="23"/>
      <c r="M9" s="23"/>
      <c r="N9" s="23"/>
      <c r="O9" s="23"/>
      <c r="P9" s="26"/>
      <c r="Q9" s="26"/>
      <c r="R9" s="26"/>
      <c r="S9" s="26"/>
      <c r="T9" s="26"/>
      <c r="U9" s="26"/>
      <c r="V9" s="26"/>
      <c r="W9" s="26"/>
      <c r="X9" s="23"/>
      <c r="Y9" s="26"/>
      <c r="Z9" s="26"/>
      <c r="AA9" s="26"/>
      <c r="AB9" s="26"/>
      <c r="AC9" s="26"/>
      <c r="AD9" s="26"/>
      <c r="AE9" s="26"/>
      <c r="AF9" s="26"/>
      <c r="AG9" s="23"/>
      <c r="AH9" s="23"/>
      <c r="AI9" s="23"/>
      <c r="AJ9" s="23"/>
      <c r="AK9" s="23"/>
      <c r="AL9" s="23"/>
      <c r="AM9" s="26"/>
      <c r="AN9" s="26"/>
      <c r="AO9" s="26"/>
      <c r="AP9" s="26"/>
      <c r="AQ9" s="23"/>
      <c r="AR9" s="23"/>
      <c r="AS9" s="23"/>
      <c r="AT9" s="23"/>
      <c r="AU9" s="26"/>
      <c r="AV9" s="26"/>
      <c r="AW9" s="26"/>
      <c r="AX9" s="26"/>
      <c r="AY9" s="26"/>
      <c r="AZ9" s="26"/>
      <c r="BA9" s="26"/>
      <c r="BB9" s="26"/>
      <c r="BC9" s="22"/>
      <c r="BD9" s="23"/>
      <c r="BE9" s="23"/>
      <c r="BF9" s="22"/>
      <c r="BG9" s="22"/>
      <c r="BH9" s="23"/>
      <c r="BI9" s="23"/>
      <c r="BJ9" s="22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3"/>
      <c r="CI9" s="23"/>
      <c r="CJ9" s="22"/>
      <c r="CK9" s="22"/>
      <c r="CM9" s="22"/>
      <c r="CN9" s="23"/>
      <c r="CO9" s="22"/>
    </row>
    <row r="10">
      <c r="A10" s="22" t="s">
        <v>18</v>
      </c>
      <c r="B10" s="22" t="s">
        <v>18</v>
      </c>
      <c r="C10" s="22" t="s">
        <v>19</v>
      </c>
      <c r="D10" s="22" t="s">
        <v>19</v>
      </c>
      <c r="E10" s="23">
        <v>1.0</v>
      </c>
      <c r="F10" s="23">
        <v>0.57008</v>
      </c>
      <c r="G10" s="22"/>
      <c r="H10" s="24" t="s">
        <v>30</v>
      </c>
      <c r="I10" s="25">
        <f>J3</f>
        <v>0.7291248</v>
      </c>
      <c r="J10" s="25">
        <f>J6</f>
        <v>0.784461931</v>
      </c>
      <c r="K10" s="26"/>
      <c r="L10" s="23"/>
      <c r="M10" s="23"/>
      <c r="N10" s="23"/>
      <c r="O10" s="23"/>
      <c r="P10" s="26"/>
      <c r="Q10" s="26"/>
      <c r="R10" s="26"/>
      <c r="S10" s="26"/>
      <c r="T10" s="26"/>
      <c r="U10" s="26"/>
      <c r="V10" s="26"/>
      <c r="W10" s="26"/>
      <c r="X10" s="23"/>
      <c r="Y10" s="26"/>
      <c r="Z10" s="26"/>
      <c r="AA10" s="26"/>
      <c r="AB10" s="26"/>
      <c r="AC10" s="26"/>
      <c r="AD10" s="26"/>
      <c r="AE10" s="26"/>
      <c r="AF10" s="26"/>
      <c r="AG10" s="23"/>
      <c r="AH10" s="23"/>
      <c r="AI10" s="23"/>
      <c r="AJ10" s="23"/>
      <c r="AK10" s="23"/>
      <c r="AL10" s="23"/>
      <c r="AM10" s="26"/>
      <c r="AN10" s="26"/>
      <c r="AO10" s="26"/>
      <c r="AP10" s="26"/>
      <c r="AQ10" s="23"/>
      <c r="AR10" s="23"/>
      <c r="AS10" s="23"/>
      <c r="AT10" s="23"/>
      <c r="AU10" s="26"/>
      <c r="AV10" s="26"/>
      <c r="AW10" s="26"/>
      <c r="AX10" s="26"/>
      <c r="AY10" s="26"/>
      <c r="AZ10" s="26"/>
      <c r="BA10" s="26"/>
      <c r="BB10" s="26"/>
      <c r="BC10" s="22"/>
      <c r="BD10" s="23"/>
      <c r="BE10" s="23"/>
      <c r="BF10" s="22"/>
      <c r="BG10" s="22"/>
      <c r="BH10" s="23"/>
      <c r="BI10" s="23"/>
      <c r="BJ10" s="22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3"/>
      <c r="CI10" s="23"/>
      <c r="CJ10" s="22"/>
      <c r="CK10" s="22"/>
      <c r="CM10" s="22"/>
      <c r="CN10" s="23"/>
      <c r="CO10" s="22"/>
    </row>
    <row r="11">
      <c r="A11" s="22" t="s">
        <v>18</v>
      </c>
      <c r="B11" s="22" t="s">
        <v>18</v>
      </c>
      <c r="C11" s="22" t="s">
        <v>19</v>
      </c>
      <c r="D11" s="22" t="s">
        <v>19</v>
      </c>
      <c r="E11" s="23">
        <v>1.0</v>
      </c>
      <c r="F11" s="23">
        <v>0.487656</v>
      </c>
      <c r="G11" s="22"/>
      <c r="H11" s="24" t="s">
        <v>31</v>
      </c>
      <c r="I11" s="25">
        <f>J7</f>
        <v>0.7133823667</v>
      </c>
      <c r="J11" s="25">
        <f>J4</f>
        <v>0.7519852333</v>
      </c>
      <c r="K11" s="26"/>
      <c r="L11" s="23"/>
      <c r="M11" s="23"/>
      <c r="N11" s="23"/>
      <c r="O11" s="23"/>
      <c r="P11" s="26"/>
      <c r="Q11" s="26"/>
      <c r="R11" s="26"/>
      <c r="S11" s="26"/>
      <c r="T11" s="26"/>
      <c r="U11" s="26"/>
      <c r="V11" s="26"/>
      <c r="W11" s="26"/>
      <c r="X11" s="23"/>
      <c r="Y11" s="26"/>
      <c r="Z11" s="26"/>
      <c r="AA11" s="26"/>
      <c r="AB11" s="26"/>
      <c r="AC11" s="26"/>
      <c r="AD11" s="26"/>
      <c r="AE11" s="26"/>
      <c r="AF11" s="26"/>
      <c r="AG11" s="23"/>
      <c r="AH11" s="23"/>
      <c r="AI11" s="23"/>
      <c r="AJ11" s="23"/>
      <c r="AK11" s="23"/>
      <c r="AL11" s="23"/>
      <c r="AM11" s="26"/>
      <c r="AN11" s="26"/>
      <c r="AO11" s="26"/>
      <c r="AP11" s="26"/>
      <c r="AQ11" s="23"/>
      <c r="AR11" s="23"/>
      <c r="AS11" s="23"/>
      <c r="AT11" s="23"/>
      <c r="AU11" s="26"/>
      <c r="AV11" s="26"/>
      <c r="AW11" s="26"/>
      <c r="AX11" s="26"/>
      <c r="AY11" s="26"/>
      <c r="AZ11" s="26"/>
      <c r="BA11" s="26"/>
      <c r="BB11" s="26"/>
      <c r="BC11" s="22"/>
      <c r="BD11" s="23"/>
      <c r="BE11" s="23"/>
      <c r="BF11" s="22"/>
      <c r="BG11" s="22"/>
      <c r="BH11" s="23"/>
      <c r="BI11" s="23"/>
      <c r="BJ11" s="22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3"/>
      <c r="CI11" s="23"/>
      <c r="CJ11" s="22"/>
      <c r="CK11" s="22"/>
      <c r="CM11" s="22"/>
      <c r="CN11" s="23"/>
      <c r="CO11" s="22"/>
    </row>
    <row r="12">
      <c r="A12" s="22" t="s">
        <v>18</v>
      </c>
      <c r="B12" s="22" t="s">
        <v>18</v>
      </c>
      <c r="C12" s="22" t="s">
        <v>19</v>
      </c>
      <c r="D12" s="22" t="s">
        <v>19</v>
      </c>
      <c r="E12" s="23">
        <v>1.0</v>
      </c>
      <c r="F12" s="23">
        <v>0.526808</v>
      </c>
      <c r="G12" s="22"/>
      <c r="H12" s="26"/>
      <c r="I12" s="26"/>
      <c r="J12" s="26"/>
      <c r="K12" s="26"/>
      <c r="L12" s="23"/>
      <c r="M12" s="23"/>
      <c r="N12" s="23"/>
      <c r="O12" s="23"/>
      <c r="P12" s="26"/>
      <c r="Q12" s="26"/>
      <c r="R12" s="26"/>
      <c r="S12" s="26"/>
      <c r="T12" s="26"/>
      <c r="U12" s="26"/>
      <c r="V12" s="26"/>
      <c r="W12" s="26"/>
      <c r="X12" s="23"/>
      <c r="Y12" s="26"/>
      <c r="Z12" s="26"/>
      <c r="AA12" s="26"/>
      <c r="AB12" s="26"/>
      <c r="AC12" s="26"/>
      <c r="AD12" s="26"/>
      <c r="AE12" s="26"/>
      <c r="AF12" s="26"/>
      <c r="AG12" s="23"/>
      <c r="AH12" s="23"/>
      <c r="AI12" s="23"/>
      <c r="AJ12" s="23"/>
      <c r="AK12" s="23"/>
      <c r="AL12" s="23"/>
      <c r="AM12" s="26"/>
      <c r="AN12" s="26"/>
      <c r="AO12" s="26"/>
      <c r="AP12" s="26"/>
      <c r="AQ12" s="23"/>
      <c r="AR12" s="23"/>
      <c r="AS12" s="23"/>
      <c r="AT12" s="23"/>
      <c r="AU12" s="26"/>
      <c r="AV12" s="26"/>
      <c r="AW12" s="26"/>
      <c r="AX12" s="26"/>
      <c r="AY12" s="26"/>
      <c r="AZ12" s="26"/>
      <c r="BA12" s="26"/>
      <c r="BB12" s="26"/>
      <c r="BC12" s="22"/>
      <c r="BD12" s="23"/>
      <c r="BE12" s="23"/>
      <c r="BF12" s="22"/>
      <c r="BG12" s="22"/>
      <c r="BH12" s="23"/>
      <c r="BI12" s="23"/>
      <c r="BJ12" s="22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3"/>
      <c r="CI12" s="23"/>
      <c r="CJ12" s="22"/>
      <c r="CK12" s="22"/>
      <c r="CM12" s="22"/>
      <c r="CN12" s="23"/>
      <c r="CO12" s="22"/>
    </row>
    <row r="13">
      <c r="A13" s="22" t="s">
        <v>18</v>
      </c>
      <c r="B13" s="22" t="s">
        <v>18</v>
      </c>
      <c r="C13" s="22" t="s">
        <v>19</v>
      </c>
      <c r="D13" s="22" t="s">
        <v>19</v>
      </c>
      <c r="E13" s="23">
        <v>1.0</v>
      </c>
      <c r="F13" s="23">
        <v>0.556293</v>
      </c>
      <c r="G13" s="22"/>
      <c r="H13" s="24" t="s">
        <v>32</v>
      </c>
      <c r="K13" s="26"/>
      <c r="L13" s="23"/>
      <c r="M13" s="23"/>
      <c r="N13" s="23"/>
      <c r="O13" s="23"/>
      <c r="P13" s="26"/>
      <c r="Q13" s="26"/>
      <c r="R13" s="26"/>
      <c r="S13" s="26"/>
      <c r="T13" s="26"/>
      <c r="U13" s="26"/>
      <c r="V13" s="26"/>
      <c r="W13" s="26"/>
      <c r="X13" s="23"/>
      <c r="Y13" s="26"/>
      <c r="Z13" s="26"/>
      <c r="AA13" s="26"/>
      <c r="AB13" s="26"/>
      <c r="AC13" s="26"/>
      <c r="AD13" s="26"/>
      <c r="AE13" s="26"/>
      <c r="AF13" s="26"/>
      <c r="AG13" s="23"/>
      <c r="AH13" s="23"/>
      <c r="AI13" s="23"/>
      <c r="AJ13" s="23"/>
      <c r="AK13" s="23"/>
      <c r="AL13" s="23"/>
      <c r="AM13" s="26"/>
      <c r="AN13" s="26"/>
      <c r="AO13" s="26"/>
      <c r="AP13" s="26"/>
      <c r="AQ13" s="23"/>
      <c r="AR13" s="23"/>
      <c r="AS13" s="23"/>
      <c r="AT13" s="23"/>
      <c r="AU13" s="26"/>
      <c r="AV13" s="26"/>
      <c r="AW13" s="26"/>
      <c r="AX13" s="26"/>
      <c r="AY13" s="26"/>
      <c r="AZ13" s="26"/>
      <c r="BA13" s="26"/>
      <c r="BB13" s="26"/>
      <c r="BC13" s="22"/>
      <c r="BD13" s="23"/>
      <c r="BE13" s="23"/>
      <c r="BF13" s="22"/>
      <c r="BG13" s="22"/>
      <c r="BH13" s="23"/>
      <c r="BI13" s="23"/>
      <c r="BJ13" s="22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3"/>
      <c r="CI13" s="23"/>
      <c r="CJ13" s="22"/>
      <c r="CK13" s="22"/>
      <c r="CM13" s="22"/>
      <c r="CN13" s="23"/>
      <c r="CO13" s="22"/>
    </row>
    <row r="14">
      <c r="A14" s="22" t="s">
        <v>18</v>
      </c>
      <c r="B14" s="22" t="s">
        <v>18</v>
      </c>
      <c r="C14" s="22" t="s">
        <v>19</v>
      </c>
      <c r="D14" s="22" t="s">
        <v>19</v>
      </c>
      <c r="E14" s="23">
        <v>1.0</v>
      </c>
      <c r="F14" s="23">
        <v>0.637479</v>
      </c>
      <c r="G14" s="22"/>
      <c r="H14" s="22" t="s">
        <v>22</v>
      </c>
      <c r="J14" s="25">
        <f>60/60*100</f>
        <v>100</v>
      </c>
      <c r="K14" s="26"/>
      <c r="L14" s="23"/>
      <c r="M14" s="23"/>
      <c r="N14" s="23"/>
      <c r="O14" s="23"/>
      <c r="P14" s="26"/>
      <c r="Q14" s="26"/>
      <c r="R14" s="26"/>
      <c r="S14" s="26"/>
      <c r="T14" s="26"/>
      <c r="U14" s="26"/>
      <c r="V14" s="26"/>
      <c r="W14" s="26"/>
      <c r="X14" s="23"/>
      <c r="Y14" s="26"/>
      <c r="Z14" s="26"/>
      <c r="AA14" s="26"/>
      <c r="AB14" s="26"/>
      <c r="AC14" s="26"/>
      <c r="AD14" s="26"/>
      <c r="AE14" s="26"/>
      <c r="AF14" s="26"/>
      <c r="AG14" s="23"/>
      <c r="AH14" s="23"/>
      <c r="AI14" s="23"/>
      <c r="AJ14" s="23"/>
      <c r="AK14" s="23"/>
      <c r="AL14" s="23"/>
      <c r="AM14" s="26"/>
      <c r="AN14" s="26"/>
      <c r="AO14" s="26"/>
      <c r="AP14" s="26"/>
      <c r="AQ14" s="23"/>
      <c r="AR14" s="23"/>
      <c r="AS14" s="23"/>
      <c r="AT14" s="23"/>
      <c r="AU14" s="26"/>
      <c r="AV14" s="26"/>
      <c r="AW14" s="26"/>
      <c r="AX14" s="26"/>
      <c r="AY14" s="26"/>
      <c r="AZ14" s="26"/>
      <c r="BA14" s="26"/>
      <c r="BB14" s="26"/>
      <c r="BC14" s="22"/>
      <c r="BD14" s="23"/>
      <c r="BE14" s="23"/>
      <c r="BF14" s="22"/>
      <c r="BG14" s="22"/>
      <c r="BH14" s="23"/>
      <c r="BI14" s="23"/>
      <c r="BJ14" s="22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3"/>
      <c r="CI14" s="23"/>
      <c r="CJ14" s="22"/>
      <c r="CK14" s="22"/>
      <c r="CM14" s="22"/>
      <c r="CN14" s="23"/>
      <c r="CO14" s="22"/>
    </row>
    <row r="15">
      <c r="A15" s="22" t="s">
        <v>18</v>
      </c>
      <c r="B15" s="22" t="s">
        <v>18</v>
      </c>
      <c r="C15" s="22" t="s">
        <v>19</v>
      </c>
      <c r="D15" s="22" t="s">
        <v>19</v>
      </c>
      <c r="E15" s="23">
        <v>1.0</v>
      </c>
      <c r="F15" s="23">
        <v>0.543495</v>
      </c>
      <c r="G15" s="22"/>
      <c r="H15" s="22" t="s">
        <v>23</v>
      </c>
      <c r="J15" s="25">
        <f>30/30*100</f>
        <v>100</v>
      </c>
      <c r="K15" s="26"/>
      <c r="L15" s="23"/>
      <c r="M15" s="23"/>
      <c r="N15" s="23"/>
      <c r="O15" s="23"/>
      <c r="P15" s="26"/>
      <c r="Q15" s="26"/>
      <c r="R15" s="26"/>
      <c r="S15" s="26"/>
      <c r="T15" s="26"/>
      <c r="U15" s="26"/>
      <c r="V15" s="26"/>
      <c r="W15" s="26"/>
      <c r="X15" s="23"/>
      <c r="Y15" s="26"/>
      <c r="Z15" s="26"/>
      <c r="AA15" s="26"/>
      <c r="AB15" s="26"/>
      <c r="AC15" s="26"/>
      <c r="AD15" s="26"/>
      <c r="AE15" s="26"/>
      <c r="AF15" s="26"/>
      <c r="AG15" s="23"/>
      <c r="AH15" s="23"/>
      <c r="AI15" s="23"/>
      <c r="AJ15" s="23"/>
      <c r="AK15" s="23"/>
      <c r="AL15" s="23"/>
      <c r="AM15" s="26"/>
      <c r="AN15" s="26"/>
      <c r="AO15" s="26"/>
      <c r="AP15" s="26"/>
      <c r="AQ15" s="23"/>
      <c r="AR15" s="23"/>
      <c r="AS15" s="23"/>
      <c r="AT15" s="23"/>
      <c r="AU15" s="26"/>
      <c r="AV15" s="26"/>
      <c r="AW15" s="26"/>
      <c r="AX15" s="26"/>
      <c r="AY15" s="26"/>
      <c r="AZ15" s="26"/>
      <c r="BA15" s="26"/>
      <c r="BB15" s="26"/>
      <c r="BC15" s="22"/>
      <c r="BD15" s="23"/>
      <c r="BE15" s="23"/>
      <c r="BF15" s="22"/>
      <c r="BG15" s="22"/>
      <c r="BH15" s="23"/>
      <c r="BI15" s="23"/>
      <c r="BJ15" s="22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3"/>
      <c r="CI15" s="23"/>
      <c r="CJ15" s="22"/>
      <c r="CK15" s="22"/>
      <c r="CM15" s="22"/>
      <c r="CN15" s="23"/>
      <c r="CO15" s="22"/>
    </row>
    <row r="16">
      <c r="A16" s="22" t="s">
        <v>18</v>
      </c>
      <c r="B16" s="22" t="s">
        <v>18</v>
      </c>
      <c r="C16" s="22" t="s">
        <v>19</v>
      </c>
      <c r="D16" s="22" t="s">
        <v>19</v>
      </c>
      <c r="E16" s="23">
        <v>1.0</v>
      </c>
      <c r="F16" s="23">
        <v>0.469096</v>
      </c>
      <c r="G16" s="22"/>
      <c r="H16" s="22" t="s">
        <v>24</v>
      </c>
      <c r="J16" s="24">
        <v>100.0</v>
      </c>
      <c r="K16" s="26"/>
      <c r="L16" s="23"/>
      <c r="M16" s="23"/>
      <c r="N16" s="23"/>
      <c r="O16" s="23"/>
      <c r="P16" s="26"/>
      <c r="Q16" s="26"/>
      <c r="R16" s="26"/>
      <c r="S16" s="26"/>
      <c r="T16" s="26"/>
      <c r="U16" s="26"/>
      <c r="V16" s="26"/>
      <c r="W16" s="26"/>
      <c r="X16" s="23"/>
      <c r="Y16" s="26"/>
      <c r="Z16" s="26"/>
      <c r="AA16" s="26"/>
      <c r="AB16" s="26"/>
      <c r="AC16" s="26"/>
      <c r="AD16" s="26"/>
      <c r="AE16" s="26"/>
      <c r="AF16" s="26"/>
      <c r="AG16" s="23"/>
      <c r="AH16" s="23"/>
      <c r="AI16" s="23"/>
      <c r="AJ16" s="23"/>
      <c r="AK16" s="23"/>
      <c r="AL16" s="23"/>
      <c r="AM16" s="26"/>
      <c r="AN16" s="26"/>
      <c r="AO16" s="26"/>
      <c r="AP16" s="26"/>
      <c r="AQ16" s="23"/>
      <c r="AR16" s="23"/>
      <c r="AS16" s="23"/>
      <c r="AT16" s="23"/>
      <c r="AU16" s="26"/>
      <c r="AV16" s="26"/>
      <c r="AW16" s="26"/>
      <c r="AX16" s="26"/>
      <c r="AY16" s="26"/>
      <c r="AZ16" s="26"/>
      <c r="BA16" s="26"/>
      <c r="BB16" s="26"/>
      <c r="BC16" s="22"/>
      <c r="BD16" s="23"/>
      <c r="BE16" s="23"/>
      <c r="BF16" s="22"/>
      <c r="BG16" s="22"/>
      <c r="BH16" s="23"/>
      <c r="BI16" s="23"/>
      <c r="BJ16" s="22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3"/>
      <c r="CI16" s="23"/>
      <c r="CJ16" s="22"/>
      <c r="CK16" s="22"/>
      <c r="CM16" s="22"/>
      <c r="CN16" s="23"/>
      <c r="CO16" s="22"/>
    </row>
    <row r="17">
      <c r="A17" s="22" t="s">
        <v>18</v>
      </c>
      <c r="B17" s="22" t="s">
        <v>18</v>
      </c>
      <c r="C17" s="22" t="s">
        <v>19</v>
      </c>
      <c r="D17" s="22" t="s">
        <v>19</v>
      </c>
      <c r="E17" s="23">
        <v>1.0</v>
      </c>
      <c r="F17" s="23">
        <v>0.474569</v>
      </c>
      <c r="G17" s="22"/>
      <c r="H17" s="22" t="s">
        <v>25</v>
      </c>
      <c r="J17" s="25">
        <f>59/60*100</f>
        <v>98.33333333</v>
      </c>
      <c r="K17" s="26"/>
      <c r="L17" s="23"/>
      <c r="M17" s="23"/>
      <c r="N17" s="23"/>
      <c r="O17" s="23"/>
      <c r="P17" s="26"/>
      <c r="Q17" s="26"/>
      <c r="R17" s="26"/>
      <c r="S17" s="26"/>
      <c r="T17" s="26"/>
      <c r="U17" s="26"/>
      <c r="V17" s="26"/>
      <c r="W17" s="26"/>
      <c r="X17" s="23"/>
      <c r="Y17" s="26"/>
      <c r="Z17" s="26"/>
      <c r="AA17" s="26"/>
      <c r="AB17" s="26"/>
      <c r="AC17" s="26"/>
      <c r="AD17" s="26"/>
      <c r="AE17" s="26"/>
      <c r="AF17" s="26"/>
      <c r="AG17" s="23"/>
      <c r="AH17" s="23"/>
      <c r="AI17" s="23"/>
      <c r="AJ17" s="23"/>
      <c r="AK17" s="23"/>
      <c r="AL17" s="23"/>
      <c r="AM17" s="26"/>
      <c r="AN17" s="26"/>
      <c r="AO17" s="26"/>
      <c r="AP17" s="26"/>
      <c r="AQ17" s="23"/>
      <c r="AR17" s="23"/>
      <c r="AS17" s="23"/>
      <c r="AT17" s="23"/>
      <c r="AU17" s="26"/>
      <c r="AV17" s="26"/>
      <c r="AW17" s="26"/>
      <c r="AX17" s="26"/>
      <c r="AY17" s="26"/>
      <c r="AZ17" s="26"/>
      <c r="BA17" s="26"/>
      <c r="BB17" s="26"/>
      <c r="BC17" s="22"/>
      <c r="BD17" s="23"/>
      <c r="BE17" s="23"/>
      <c r="BF17" s="22"/>
      <c r="BG17" s="22"/>
      <c r="BH17" s="23"/>
      <c r="BI17" s="23"/>
      <c r="BJ17" s="22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3"/>
      <c r="CI17" s="23"/>
      <c r="CJ17" s="22"/>
      <c r="CK17" s="22"/>
      <c r="CM17" s="22"/>
      <c r="CN17" s="23"/>
      <c r="CO17" s="22"/>
    </row>
    <row r="18">
      <c r="A18" s="22" t="s">
        <v>18</v>
      </c>
      <c r="B18" s="22" t="s">
        <v>18</v>
      </c>
      <c r="C18" s="22" t="s">
        <v>19</v>
      </c>
      <c r="D18" s="22" t="s">
        <v>19</v>
      </c>
      <c r="E18" s="23">
        <v>1.0</v>
      </c>
      <c r="F18" s="23">
        <v>0.459148</v>
      </c>
      <c r="G18" s="22"/>
      <c r="H18" s="22" t="s">
        <v>26</v>
      </c>
      <c r="J18" s="24">
        <f>29/30*100</f>
        <v>96.66666667</v>
      </c>
      <c r="K18" s="26"/>
      <c r="L18" s="23"/>
      <c r="M18" s="23"/>
      <c r="N18" s="23"/>
      <c r="O18" s="23"/>
      <c r="P18" s="26"/>
      <c r="Q18" s="26"/>
      <c r="R18" s="26"/>
      <c r="S18" s="26"/>
      <c r="T18" s="26"/>
      <c r="U18" s="26"/>
      <c r="V18" s="26"/>
      <c r="W18" s="26"/>
      <c r="X18" s="23"/>
      <c r="Y18" s="26"/>
      <c r="Z18" s="26"/>
      <c r="AA18" s="26"/>
      <c r="AB18" s="26"/>
      <c r="AC18" s="26"/>
      <c r="AD18" s="26"/>
      <c r="AE18" s="26"/>
      <c r="AF18" s="26"/>
      <c r="AG18" s="23"/>
      <c r="AH18" s="23"/>
      <c r="AI18" s="23"/>
      <c r="AJ18" s="23"/>
      <c r="AK18" s="23"/>
      <c r="AL18" s="23"/>
      <c r="AM18" s="26"/>
      <c r="AN18" s="26"/>
      <c r="AO18" s="26"/>
      <c r="AP18" s="26"/>
      <c r="AQ18" s="23"/>
      <c r="AR18" s="23"/>
      <c r="AS18" s="23"/>
      <c r="AT18" s="23"/>
      <c r="AU18" s="26"/>
      <c r="AV18" s="26"/>
      <c r="AW18" s="26"/>
      <c r="AX18" s="26"/>
      <c r="AY18" s="26"/>
      <c r="AZ18" s="26"/>
      <c r="BA18" s="26"/>
      <c r="BB18" s="26"/>
      <c r="BC18" s="22"/>
      <c r="BD18" s="23"/>
      <c r="BE18" s="23"/>
      <c r="BF18" s="22"/>
      <c r="BG18" s="22"/>
      <c r="BH18" s="23"/>
      <c r="BI18" s="23"/>
      <c r="BJ18" s="22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3"/>
      <c r="CI18" s="23"/>
      <c r="CJ18" s="22"/>
      <c r="CK18" s="22"/>
      <c r="CM18" s="22"/>
      <c r="CN18" s="23"/>
      <c r="CO18" s="22"/>
    </row>
    <row r="19">
      <c r="A19" s="22" t="s">
        <v>18</v>
      </c>
      <c r="B19" s="22" t="s">
        <v>18</v>
      </c>
      <c r="C19" s="22" t="s">
        <v>19</v>
      </c>
      <c r="D19" s="22" t="s">
        <v>19</v>
      </c>
      <c r="E19" s="23">
        <v>1.0</v>
      </c>
      <c r="F19" s="23">
        <v>0.648673</v>
      </c>
      <c r="G19" s="22"/>
      <c r="H19" s="22" t="s">
        <v>27</v>
      </c>
      <c r="J19" s="24">
        <v>100.0</v>
      </c>
      <c r="K19" s="26"/>
      <c r="L19" s="23"/>
      <c r="M19" s="23"/>
      <c r="N19" s="23"/>
      <c r="O19" s="23"/>
      <c r="P19" s="26"/>
      <c r="Q19" s="26"/>
      <c r="R19" s="26"/>
      <c r="S19" s="26"/>
      <c r="T19" s="26"/>
      <c r="U19" s="26"/>
      <c r="V19" s="26"/>
      <c r="W19" s="26"/>
      <c r="X19" s="23"/>
      <c r="Y19" s="26"/>
      <c r="Z19" s="26"/>
      <c r="AA19" s="26"/>
      <c r="AB19" s="26"/>
      <c r="AC19" s="26"/>
      <c r="AD19" s="26"/>
      <c r="AE19" s="26"/>
      <c r="AF19" s="26"/>
      <c r="AG19" s="23"/>
      <c r="AH19" s="23"/>
      <c r="AI19" s="23"/>
      <c r="AJ19" s="23"/>
      <c r="AK19" s="23"/>
      <c r="AL19" s="23"/>
      <c r="AM19" s="26"/>
      <c r="AN19" s="26"/>
      <c r="AO19" s="26"/>
      <c r="AP19" s="26"/>
      <c r="AQ19" s="23"/>
      <c r="AR19" s="23"/>
      <c r="AS19" s="23"/>
      <c r="AT19" s="23"/>
      <c r="AU19" s="26"/>
      <c r="AV19" s="26"/>
      <c r="AW19" s="26"/>
      <c r="AX19" s="26"/>
      <c r="AY19" s="26"/>
      <c r="AZ19" s="26"/>
      <c r="BA19" s="26"/>
      <c r="BB19" s="26"/>
      <c r="BC19" s="22"/>
      <c r="BD19" s="23"/>
      <c r="BE19" s="23"/>
      <c r="BF19" s="22"/>
      <c r="BG19" s="22"/>
      <c r="BH19" s="23"/>
      <c r="BI19" s="23"/>
      <c r="BJ19" s="22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3"/>
      <c r="CI19" s="23"/>
      <c r="CJ19" s="22"/>
      <c r="CK19" s="22"/>
      <c r="CM19" s="22"/>
      <c r="CN19" s="23"/>
      <c r="CO19" s="22"/>
    </row>
    <row r="20">
      <c r="A20" s="22" t="s">
        <v>18</v>
      </c>
      <c r="B20" s="22" t="s">
        <v>18</v>
      </c>
      <c r="C20" s="22" t="s">
        <v>19</v>
      </c>
      <c r="D20" s="22" t="s">
        <v>19</v>
      </c>
      <c r="E20" s="23">
        <v>1.0</v>
      </c>
      <c r="F20" s="23">
        <v>0.601327</v>
      </c>
      <c r="G20" s="22"/>
      <c r="H20" s="26"/>
      <c r="I20" s="26"/>
      <c r="J20" s="26"/>
      <c r="K20" s="26"/>
      <c r="L20" s="23"/>
      <c r="M20" s="23"/>
      <c r="N20" s="23"/>
      <c r="O20" s="23"/>
      <c r="P20" s="26"/>
      <c r="Q20" s="26"/>
      <c r="R20" s="26"/>
      <c r="S20" s="26"/>
      <c r="T20" s="26"/>
      <c r="U20" s="26"/>
      <c r="V20" s="26"/>
      <c r="W20" s="26"/>
      <c r="X20" s="23"/>
      <c r="Y20" s="26"/>
      <c r="Z20" s="26"/>
      <c r="AA20" s="26"/>
      <c r="AB20" s="26"/>
      <c r="AC20" s="26"/>
      <c r="AD20" s="26"/>
      <c r="AE20" s="26"/>
      <c r="AF20" s="26"/>
      <c r="AG20" s="23"/>
      <c r="AH20" s="23"/>
      <c r="AI20" s="23"/>
      <c r="AJ20" s="23"/>
      <c r="AK20" s="23"/>
      <c r="AL20" s="23"/>
      <c r="AM20" s="26"/>
      <c r="AN20" s="26"/>
      <c r="AO20" s="26"/>
      <c r="AP20" s="26"/>
      <c r="AQ20" s="23"/>
      <c r="AR20" s="23"/>
      <c r="AS20" s="23"/>
      <c r="AT20" s="23"/>
      <c r="AU20" s="26"/>
      <c r="AV20" s="26"/>
      <c r="AW20" s="26"/>
      <c r="AX20" s="26"/>
      <c r="AY20" s="26"/>
      <c r="AZ20" s="26"/>
      <c r="BA20" s="26"/>
      <c r="BB20" s="26"/>
      <c r="BC20" s="22"/>
      <c r="BD20" s="23"/>
      <c r="BE20" s="23"/>
      <c r="BF20" s="22"/>
      <c r="BG20" s="22"/>
      <c r="BH20" s="23"/>
      <c r="BI20" s="23"/>
      <c r="BJ20" s="22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3"/>
      <c r="CI20" s="23"/>
      <c r="CJ20" s="22"/>
      <c r="CK20" s="22"/>
      <c r="CM20" s="22"/>
      <c r="CN20" s="23"/>
      <c r="CO20" s="22"/>
    </row>
    <row r="21">
      <c r="A21" s="22" t="s">
        <v>18</v>
      </c>
      <c r="B21" s="22" t="s">
        <v>18</v>
      </c>
      <c r="C21" s="22" t="s">
        <v>19</v>
      </c>
      <c r="D21" s="22" t="s">
        <v>19</v>
      </c>
      <c r="E21" s="23">
        <v>1.0</v>
      </c>
      <c r="F21" s="23">
        <v>0.424805</v>
      </c>
      <c r="G21" s="22"/>
      <c r="H21" s="26"/>
      <c r="I21" s="26"/>
      <c r="J21" s="26"/>
      <c r="K21" s="26"/>
      <c r="L21" s="23"/>
      <c r="M21" s="23"/>
      <c r="N21" s="23"/>
      <c r="O21" s="23"/>
      <c r="P21" s="26"/>
      <c r="Q21" s="26"/>
      <c r="R21" s="26"/>
      <c r="S21" s="26"/>
      <c r="T21" s="26"/>
      <c r="U21" s="26"/>
      <c r="V21" s="26"/>
      <c r="W21" s="26"/>
      <c r="X21" s="23"/>
      <c r="Y21" s="26"/>
      <c r="Z21" s="26"/>
      <c r="AA21" s="26"/>
      <c r="AB21" s="26"/>
      <c r="AC21" s="26"/>
      <c r="AD21" s="26"/>
      <c r="AE21" s="26"/>
      <c r="AF21" s="26"/>
      <c r="AG21" s="23"/>
      <c r="AH21" s="23"/>
      <c r="AI21" s="23"/>
      <c r="AJ21" s="23"/>
      <c r="AK21" s="23"/>
      <c r="AL21" s="23"/>
      <c r="AM21" s="26"/>
      <c r="AN21" s="26"/>
      <c r="AO21" s="26"/>
      <c r="AP21" s="26"/>
      <c r="AQ21" s="23"/>
      <c r="AR21" s="23"/>
      <c r="AS21" s="23"/>
      <c r="AT21" s="23"/>
      <c r="AU21" s="26"/>
      <c r="AV21" s="26"/>
      <c r="AW21" s="26"/>
      <c r="AX21" s="26"/>
      <c r="AY21" s="26"/>
      <c r="AZ21" s="26"/>
      <c r="BA21" s="26"/>
      <c r="BB21" s="26"/>
      <c r="BC21" s="22"/>
      <c r="BD21" s="23"/>
      <c r="BE21" s="23"/>
      <c r="BF21" s="22"/>
      <c r="BG21" s="22"/>
      <c r="BH21" s="23"/>
      <c r="BI21" s="23"/>
      <c r="BJ21" s="22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3"/>
      <c r="CI21" s="23"/>
      <c r="CJ21" s="22"/>
      <c r="CK21" s="22"/>
      <c r="CM21" s="22"/>
      <c r="CN21" s="23"/>
      <c r="CO21" s="22"/>
    </row>
    <row r="22">
      <c r="A22" s="22" t="s">
        <v>18</v>
      </c>
      <c r="B22" s="22" t="s">
        <v>18</v>
      </c>
      <c r="C22" s="22" t="s">
        <v>19</v>
      </c>
      <c r="D22" s="22" t="s">
        <v>19</v>
      </c>
      <c r="E22" s="23">
        <v>1.0</v>
      </c>
      <c r="F22" s="23">
        <v>0.552909</v>
      </c>
      <c r="G22" s="22"/>
      <c r="H22" s="26"/>
      <c r="I22" s="26"/>
      <c r="J22" s="26"/>
      <c r="K22" s="26"/>
      <c r="L22" s="23"/>
      <c r="M22" s="23"/>
      <c r="N22" s="23"/>
      <c r="O22" s="23"/>
      <c r="P22" s="26"/>
      <c r="Q22" s="26"/>
      <c r="R22" s="26"/>
      <c r="S22" s="26"/>
      <c r="T22" s="26"/>
      <c r="U22" s="26"/>
      <c r="V22" s="26"/>
      <c r="W22" s="26"/>
      <c r="X22" s="23"/>
      <c r="Y22" s="26"/>
      <c r="Z22" s="26"/>
      <c r="AA22" s="26"/>
      <c r="AB22" s="26"/>
      <c r="AC22" s="26"/>
      <c r="AD22" s="26"/>
      <c r="AE22" s="26"/>
      <c r="AF22" s="26"/>
      <c r="AG22" s="23"/>
      <c r="AH22" s="23"/>
      <c r="AI22" s="23"/>
      <c r="AJ22" s="23"/>
      <c r="AK22" s="23"/>
      <c r="AL22" s="23"/>
      <c r="AM22" s="26"/>
      <c r="AN22" s="26"/>
      <c r="AO22" s="26"/>
      <c r="AP22" s="26"/>
      <c r="AQ22" s="23"/>
      <c r="AR22" s="23"/>
      <c r="AS22" s="23"/>
      <c r="AT22" s="23"/>
      <c r="AU22" s="26"/>
      <c r="AV22" s="26"/>
      <c r="AW22" s="26"/>
      <c r="AX22" s="26"/>
      <c r="AY22" s="26"/>
      <c r="AZ22" s="26"/>
      <c r="BA22" s="26"/>
      <c r="BB22" s="26"/>
      <c r="BC22" s="22"/>
      <c r="BD22" s="23"/>
      <c r="BE22" s="23"/>
      <c r="BF22" s="22"/>
      <c r="BG22" s="22"/>
      <c r="BH22" s="23"/>
      <c r="BI22" s="23"/>
      <c r="BJ22" s="22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3"/>
      <c r="CI22" s="23"/>
      <c r="CJ22" s="22"/>
      <c r="CK22" s="22"/>
      <c r="CM22" s="22"/>
      <c r="CN22" s="23"/>
      <c r="CO22" s="22"/>
    </row>
    <row r="23">
      <c r="A23" s="22" t="s">
        <v>18</v>
      </c>
      <c r="B23" s="22" t="s">
        <v>18</v>
      </c>
      <c r="C23" s="22" t="s">
        <v>19</v>
      </c>
      <c r="D23" s="22" t="s">
        <v>19</v>
      </c>
      <c r="E23" s="23">
        <v>1.0</v>
      </c>
      <c r="F23" s="23">
        <v>1.190679</v>
      </c>
      <c r="G23" s="22"/>
      <c r="H23" s="26"/>
      <c r="I23" s="26"/>
      <c r="J23" s="26"/>
      <c r="K23" s="26"/>
      <c r="L23" s="23"/>
      <c r="M23" s="23"/>
      <c r="N23" s="23"/>
      <c r="O23" s="23"/>
      <c r="P23" s="26"/>
      <c r="Q23" s="26"/>
      <c r="R23" s="26"/>
      <c r="S23" s="26"/>
      <c r="T23" s="26"/>
      <c r="U23" s="26"/>
      <c r="V23" s="26"/>
      <c r="W23" s="26"/>
      <c r="X23" s="23"/>
      <c r="Y23" s="26"/>
      <c r="Z23" s="26"/>
      <c r="AA23" s="26"/>
      <c r="AB23" s="26"/>
      <c r="AC23" s="26"/>
      <c r="AD23" s="26"/>
      <c r="AE23" s="26"/>
      <c r="AF23" s="26"/>
      <c r="AG23" s="23"/>
      <c r="AH23" s="23"/>
      <c r="AI23" s="23"/>
      <c r="AJ23" s="23"/>
      <c r="AK23" s="23"/>
      <c r="AL23" s="23"/>
      <c r="AM23" s="26"/>
      <c r="AN23" s="26"/>
      <c r="AO23" s="26"/>
      <c r="AP23" s="26"/>
      <c r="AQ23" s="23"/>
      <c r="AR23" s="23"/>
      <c r="AS23" s="23"/>
      <c r="AT23" s="23"/>
      <c r="AU23" s="26"/>
      <c r="AV23" s="26"/>
      <c r="AW23" s="26"/>
      <c r="AX23" s="26"/>
      <c r="AY23" s="26"/>
      <c r="AZ23" s="26"/>
      <c r="BA23" s="26"/>
      <c r="BB23" s="26"/>
      <c r="BC23" s="22"/>
      <c r="BD23" s="23"/>
      <c r="BE23" s="23"/>
      <c r="BF23" s="22"/>
      <c r="BG23" s="22"/>
      <c r="BH23" s="23"/>
      <c r="BI23" s="23"/>
      <c r="BJ23" s="22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3"/>
      <c r="CI23" s="23"/>
      <c r="CJ23" s="22"/>
      <c r="CK23" s="22"/>
      <c r="CM23" s="22"/>
      <c r="CN23" s="23"/>
      <c r="CO23" s="22"/>
    </row>
    <row r="24">
      <c r="A24" s="22" t="s">
        <v>18</v>
      </c>
      <c r="B24" s="22" t="s">
        <v>18</v>
      </c>
      <c r="C24" s="22" t="s">
        <v>19</v>
      </c>
      <c r="D24" s="22" t="s">
        <v>19</v>
      </c>
      <c r="E24" s="23">
        <v>1.0</v>
      </c>
      <c r="F24" s="23">
        <v>0.444927</v>
      </c>
      <c r="G24" s="22"/>
      <c r="H24" s="26"/>
      <c r="I24" s="26"/>
      <c r="J24" s="26"/>
      <c r="K24" s="26"/>
      <c r="L24" s="23"/>
      <c r="M24" s="23"/>
      <c r="N24" s="23"/>
      <c r="O24" s="23"/>
      <c r="P24" s="26"/>
      <c r="Q24" s="26"/>
      <c r="R24" s="26"/>
      <c r="S24" s="26"/>
      <c r="T24" s="26"/>
      <c r="U24" s="26"/>
      <c r="V24" s="26"/>
      <c r="W24" s="26"/>
      <c r="X24" s="23"/>
      <c r="Y24" s="26"/>
      <c r="Z24" s="26"/>
      <c r="AA24" s="26"/>
      <c r="AB24" s="26"/>
      <c r="AC24" s="26"/>
      <c r="AD24" s="26"/>
      <c r="AE24" s="26"/>
      <c r="AF24" s="26"/>
      <c r="AG24" s="23"/>
      <c r="AH24" s="23"/>
      <c r="AI24" s="23"/>
      <c r="AJ24" s="23"/>
      <c r="AK24" s="23"/>
      <c r="AL24" s="23"/>
      <c r="AM24" s="26"/>
      <c r="AN24" s="26"/>
      <c r="AO24" s="26"/>
      <c r="AP24" s="26"/>
      <c r="AQ24" s="23"/>
      <c r="AR24" s="23"/>
      <c r="AS24" s="23"/>
      <c r="AT24" s="23"/>
      <c r="AU24" s="26"/>
      <c r="AV24" s="26"/>
      <c r="AW24" s="26"/>
      <c r="AX24" s="26"/>
      <c r="AY24" s="26"/>
      <c r="AZ24" s="26"/>
      <c r="BA24" s="26"/>
      <c r="BB24" s="26"/>
      <c r="BC24" s="22"/>
      <c r="BD24" s="23"/>
      <c r="BE24" s="23"/>
      <c r="BF24" s="22"/>
      <c r="BG24" s="22"/>
      <c r="BH24" s="23"/>
      <c r="BI24" s="23"/>
      <c r="BJ24" s="22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3"/>
      <c r="CI24" s="23"/>
      <c r="CJ24" s="22"/>
      <c r="CK24" s="22"/>
      <c r="CM24" s="22"/>
      <c r="CN24" s="23"/>
      <c r="CO24" s="22"/>
    </row>
    <row r="25">
      <c r="A25" s="22" t="s">
        <v>18</v>
      </c>
      <c r="B25" s="22" t="s">
        <v>18</v>
      </c>
      <c r="C25" s="22" t="s">
        <v>19</v>
      </c>
      <c r="D25" s="22" t="s">
        <v>19</v>
      </c>
      <c r="E25" s="23">
        <v>1.0</v>
      </c>
      <c r="F25" s="23">
        <v>3.033356</v>
      </c>
      <c r="G25" s="22"/>
      <c r="H25" s="26"/>
      <c r="I25" s="26"/>
      <c r="J25" s="26"/>
      <c r="K25" s="26"/>
      <c r="L25" s="23"/>
      <c r="M25" s="23"/>
      <c r="N25" s="23"/>
      <c r="O25" s="23"/>
      <c r="P25" s="26"/>
      <c r="Q25" s="26"/>
      <c r="R25" s="26"/>
      <c r="S25" s="26"/>
      <c r="T25" s="26"/>
      <c r="U25" s="26"/>
      <c r="V25" s="26"/>
      <c r="W25" s="26"/>
      <c r="X25" s="23"/>
      <c r="Y25" s="26"/>
      <c r="Z25" s="26"/>
      <c r="AA25" s="26"/>
      <c r="AB25" s="26"/>
      <c r="AC25" s="26"/>
      <c r="AD25" s="26"/>
      <c r="AE25" s="26"/>
      <c r="AF25" s="26"/>
      <c r="AG25" s="23"/>
      <c r="AH25" s="23"/>
      <c r="AI25" s="23"/>
      <c r="AJ25" s="23"/>
      <c r="AK25" s="23"/>
      <c r="AL25" s="23"/>
      <c r="AM25" s="26"/>
      <c r="AN25" s="26"/>
      <c r="AO25" s="26"/>
      <c r="AP25" s="26"/>
      <c r="AQ25" s="23"/>
      <c r="AR25" s="23"/>
      <c r="AS25" s="23"/>
      <c r="AT25" s="23"/>
      <c r="AU25" s="26"/>
      <c r="AV25" s="26"/>
      <c r="AW25" s="26"/>
      <c r="AX25" s="26"/>
      <c r="AY25" s="26"/>
      <c r="AZ25" s="26"/>
      <c r="BA25" s="26"/>
      <c r="BB25" s="26"/>
      <c r="BC25" s="22"/>
      <c r="BD25" s="23"/>
      <c r="BE25" s="23"/>
      <c r="BF25" s="22"/>
      <c r="BG25" s="22"/>
      <c r="BH25" s="23"/>
      <c r="BI25" s="23"/>
      <c r="BJ25" s="22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3"/>
      <c r="CI25" s="23"/>
      <c r="CJ25" s="22"/>
      <c r="CK25" s="22"/>
      <c r="CM25" s="22"/>
      <c r="CN25" s="23"/>
      <c r="CO25" s="22"/>
    </row>
    <row r="26">
      <c r="A26" s="22" t="s">
        <v>18</v>
      </c>
      <c r="B26" s="22" t="s">
        <v>18</v>
      </c>
      <c r="C26" s="22" t="s">
        <v>19</v>
      </c>
      <c r="D26" s="22" t="s">
        <v>19</v>
      </c>
      <c r="E26" s="23">
        <v>1.0</v>
      </c>
      <c r="F26" s="23">
        <v>0.505769</v>
      </c>
      <c r="G26" s="22"/>
      <c r="H26" s="26"/>
      <c r="I26" s="26"/>
      <c r="J26" s="26"/>
      <c r="K26" s="26"/>
      <c r="L26" s="23"/>
      <c r="M26" s="23"/>
      <c r="N26" s="23"/>
      <c r="O26" s="23"/>
      <c r="P26" s="26"/>
      <c r="Q26" s="26"/>
      <c r="R26" s="26"/>
      <c r="S26" s="26"/>
      <c r="T26" s="26"/>
      <c r="U26" s="26"/>
      <c r="V26" s="26"/>
      <c r="W26" s="26"/>
      <c r="X26" s="23"/>
      <c r="Y26" s="26"/>
      <c r="Z26" s="26"/>
      <c r="AA26" s="26"/>
      <c r="AB26" s="26"/>
      <c r="AC26" s="26"/>
      <c r="AD26" s="26"/>
      <c r="AE26" s="26"/>
      <c r="AF26" s="26"/>
      <c r="AG26" s="23"/>
      <c r="AH26" s="23"/>
      <c r="AI26" s="23"/>
      <c r="AJ26" s="23"/>
      <c r="AK26" s="23"/>
      <c r="AL26" s="23"/>
      <c r="AM26" s="26"/>
      <c r="AN26" s="26"/>
      <c r="AO26" s="26"/>
      <c r="AP26" s="26"/>
      <c r="AQ26" s="23"/>
      <c r="AR26" s="23"/>
      <c r="AS26" s="23"/>
      <c r="AT26" s="23"/>
      <c r="AU26" s="26"/>
      <c r="AV26" s="26"/>
      <c r="AW26" s="26"/>
      <c r="AX26" s="26"/>
      <c r="AY26" s="26"/>
      <c r="AZ26" s="26"/>
      <c r="BA26" s="26"/>
      <c r="BB26" s="26"/>
      <c r="BC26" s="22"/>
      <c r="BD26" s="23"/>
      <c r="BE26" s="23"/>
      <c r="BF26" s="22"/>
      <c r="BG26" s="22"/>
      <c r="BH26" s="23"/>
      <c r="BI26" s="23"/>
      <c r="BJ26" s="22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3"/>
      <c r="CI26" s="23"/>
      <c r="CJ26" s="22"/>
      <c r="CK26" s="22"/>
      <c r="CM26" s="22"/>
      <c r="CN26" s="23"/>
      <c r="CO26" s="22"/>
    </row>
    <row r="27">
      <c r="A27" s="22" t="s">
        <v>18</v>
      </c>
      <c r="B27" s="22" t="s">
        <v>18</v>
      </c>
      <c r="C27" s="22" t="s">
        <v>19</v>
      </c>
      <c r="D27" s="22" t="s">
        <v>19</v>
      </c>
      <c r="E27" s="23">
        <v>1.0</v>
      </c>
      <c r="F27" s="23">
        <v>1.681749</v>
      </c>
      <c r="G27" s="22"/>
      <c r="H27" s="26"/>
      <c r="I27" s="26"/>
      <c r="J27" s="26"/>
      <c r="K27" s="26"/>
      <c r="L27" s="23"/>
      <c r="M27" s="23"/>
      <c r="N27" s="23"/>
      <c r="O27" s="23"/>
      <c r="P27" s="26"/>
      <c r="Q27" s="26"/>
      <c r="R27" s="26"/>
      <c r="S27" s="26"/>
      <c r="T27" s="26"/>
      <c r="U27" s="26"/>
      <c r="V27" s="26"/>
      <c r="W27" s="26"/>
      <c r="X27" s="23"/>
      <c r="Y27" s="26"/>
      <c r="Z27" s="26"/>
      <c r="AA27" s="26"/>
      <c r="AB27" s="26"/>
      <c r="AC27" s="26"/>
      <c r="AD27" s="26"/>
      <c r="AE27" s="26"/>
      <c r="AF27" s="26"/>
      <c r="AG27" s="23"/>
      <c r="AH27" s="23"/>
      <c r="AI27" s="23"/>
      <c r="AJ27" s="23"/>
      <c r="AK27" s="23"/>
      <c r="AL27" s="23"/>
      <c r="AM27" s="26"/>
      <c r="AN27" s="26"/>
      <c r="AO27" s="26"/>
      <c r="AP27" s="26"/>
      <c r="AQ27" s="23"/>
      <c r="AR27" s="23"/>
      <c r="AS27" s="23"/>
      <c r="AT27" s="23"/>
      <c r="AU27" s="26"/>
      <c r="AV27" s="26"/>
      <c r="AW27" s="26"/>
      <c r="AX27" s="26"/>
      <c r="AY27" s="26"/>
      <c r="AZ27" s="26"/>
      <c r="BA27" s="26"/>
      <c r="BB27" s="26"/>
      <c r="BC27" s="22"/>
      <c r="BD27" s="23"/>
      <c r="BE27" s="23"/>
      <c r="BF27" s="22"/>
      <c r="BG27" s="22"/>
      <c r="BH27" s="23"/>
      <c r="BI27" s="23"/>
      <c r="BJ27" s="22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3"/>
      <c r="CI27" s="23"/>
      <c r="CJ27" s="22"/>
      <c r="CK27" s="22"/>
      <c r="CM27" s="22"/>
      <c r="CN27" s="23"/>
      <c r="CO27" s="22"/>
    </row>
    <row r="28">
      <c r="A28" s="22" t="s">
        <v>18</v>
      </c>
      <c r="B28" s="22" t="s">
        <v>18</v>
      </c>
      <c r="C28" s="22" t="s">
        <v>19</v>
      </c>
      <c r="D28" s="22" t="s">
        <v>19</v>
      </c>
      <c r="E28" s="23">
        <v>1.0</v>
      </c>
      <c r="F28" s="23">
        <v>0.747003</v>
      </c>
      <c r="G28" s="22"/>
      <c r="H28" s="26"/>
      <c r="I28" s="26"/>
      <c r="J28" s="26"/>
      <c r="K28" s="26"/>
      <c r="L28" s="23"/>
      <c r="M28" s="23"/>
      <c r="N28" s="23"/>
      <c r="O28" s="23"/>
      <c r="P28" s="26"/>
      <c r="Q28" s="26"/>
      <c r="R28" s="26"/>
      <c r="S28" s="26"/>
      <c r="T28" s="26"/>
      <c r="U28" s="26"/>
      <c r="V28" s="26"/>
      <c r="W28" s="26"/>
      <c r="X28" s="23"/>
      <c r="Y28" s="26"/>
      <c r="Z28" s="26"/>
      <c r="AA28" s="26"/>
      <c r="AB28" s="26"/>
      <c r="AC28" s="26"/>
      <c r="AD28" s="26"/>
      <c r="AE28" s="26"/>
      <c r="AF28" s="26"/>
      <c r="AG28" s="23"/>
      <c r="AH28" s="23"/>
      <c r="AI28" s="23"/>
      <c r="AJ28" s="23"/>
      <c r="AK28" s="23"/>
      <c r="AL28" s="23"/>
      <c r="AM28" s="26"/>
      <c r="AN28" s="26"/>
      <c r="AO28" s="26"/>
      <c r="AP28" s="26"/>
      <c r="AQ28" s="23"/>
      <c r="AR28" s="23"/>
      <c r="AS28" s="23"/>
      <c r="AT28" s="23"/>
      <c r="AU28" s="26"/>
      <c r="AV28" s="26"/>
      <c r="AW28" s="26"/>
      <c r="AX28" s="26"/>
      <c r="AY28" s="26"/>
      <c r="AZ28" s="26"/>
      <c r="BA28" s="26"/>
      <c r="BB28" s="26"/>
      <c r="BC28" s="22"/>
      <c r="BD28" s="23"/>
      <c r="BE28" s="23"/>
      <c r="BF28" s="22"/>
      <c r="BG28" s="22"/>
      <c r="BH28" s="23"/>
      <c r="BI28" s="23"/>
      <c r="BJ28" s="22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3"/>
      <c r="CI28" s="23"/>
      <c r="CJ28" s="22"/>
      <c r="CK28" s="22"/>
      <c r="CM28" s="22"/>
      <c r="CN28" s="23"/>
      <c r="CO28" s="22"/>
    </row>
    <row r="29">
      <c r="A29" s="22" t="s">
        <v>18</v>
      </c>
      <c r="B29" s="22" t="s">
        <v>18</v>
      </c>
      <c r="C29" s="22" t="s">
        <v>19</v>
      </c>
      <c r="D29" s="22" t="s">
        <v>19</v>
      </c>
      <c r="E29" s="23">
        <v>1.0</v>
      </c>
      <c r="F29" s="23">
        <v>0.530387</v>
      </c>
      <c r="G29" s="22"/>
      <c r="H29" s="26"/>
      <c r="I29" s="26"/>
      <c r="J29" s="26"/>
      <c r="K29" s="26"/>
      <c r="L29" s="23"/>
      <c r="M29" s="23"/>
      <c r="N29" s="23"/>
      <c r="O29" s="23"/>
      <c r="P29" s="26"/>
      <c r="Q29" s="26"/>
      <c r="R29" s="26"/>
      <c r="S29" s="26"/>
      <c r="T29" s="26"/>
      <c r="U29" s="26"/>
      <c r="V29" s="26"/>
      <c r="W29" s="26"/>
      <c r="X29" s="23"/>
      <c r="Y29" s="26"/>
      <c r="Z29" s="26"/>
      <c r="AA29" s="26"/>
      <c r="AB29" s="26"/>
      <c r="AC29" s="26"/>
      <c r="AD29" s="26"/>
      <c r="AE29" s="26"/>
      <c r="AF29" s="26"/>
      <c r="AG29" s="23"/>
      <c r="AH29" s="23"/>
      <c r="AI29" s="23"/>
      <c r="AJ29" s="23"/>
      <c r="AK29" s="23"/>
      <c r="AL29" s="23"/>
      <c r="AM29" s="26"/>
      <c r="AN29" s="26"/>
      <c r="AO29" s="26"/>
      <c r="AP29" s="26"/>
      <c r="AQ29" s="23"/>
      <c r="AR29" s="23"/>
      <c r="AS29" s="23"/>
      <c r="AT29" s="23"/>
      <c r="AU29" s="26"/>
      <c r="AV29" s="26"/>
      <c r="AW29" s="26"/>
      <c r="AX29" s="26"/>
      <c r="AY29" s="26"/>
      <c r="AZ29" s="26"/>
      <c r="BA29" s="26"/>
      <c r="BB29" s="26"/>
      <c r="BC29" s="22"/>
      <c r="BD29" s="23"/>
      <c r="BE29" s="23"/>
      <c r="BF29" s="22"/>
      <c r="BG29" s="22"/>
      <c r="BH29" s="23"/>
      <c r="BI29" s="23"/>
      <c r="BJ29" s="22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3"/>
      <c r="CI29" s="23"/>
      <c r="CJ29" s="22"/>
      <c r="CK29" s="22"/>
      <c r="CM29" s="22"/>
      <c r="CN29" s="23"/>
      <c r="CO29" s="22"/>
    </row>
    <row r="30">
      <c r="A30" s="22" t="s">
        <v>18</v>
      </c>
      <c r="B30" s="22" t="s">
        <v>18</v>
      </c>
      <c r="C30" s="22" t="s">
        <v>19</v>
      </c>
      <c r="D30" s="22" t="s">
        <v>19</v>
      </c>
      <c r="E30" s="23">
        <v>1.0</v>
      </c>
      <c r="F30" s="23">
        <v>0.511925</v>
      </c>
      <c r="G30" s="22"/>
      <c r="H30" s="26"/>
      <c r="I30" s="26"/>
      <c r="J30" s="26"/>
      <c r="K30" s="26"/>
      <c r="L30" s="23"/>
      <c r="M30" s="23"/>
      <c r="N30" s="23"/>
      <c r="O30" s="23"/>
      <c r="P30" s="26"/>
      <c r="Q30" s="26"/>
      <c r="R30" s="26"/>
      <c r="S30" s="26"/>
      <c r="T30" s="26"/>
      <c r="U30" s="26"/>
      <c r="V30" s="26"/>
      <c r="W30" s="26"/>
      <c r="X30" s="23"/>
      <c r="Y30" s="26"/>
      <c r="Z30" s="26"/>
      <c r="AA30" s="26"/>
      <c r="AB30" s="26"/>
      <c r="AC30" s="26"/>
      <c r="AD30" s="26"/>
      <c r="AE30" s="26"/>
      <c r="AF30" s="26"/>
      <c r="AG30" s="23"/>
      <c r="AH30" s="23"/>
      <c r="AI30" s="23"/>
      <c r="AJ30" s="23"/>
      <c r="AK30" s="23"/>
      <c r="AL30" s="23"/>
      <c r="AM30" s="26"/>
      <c r="AN30" s="26"/>
      <c r="AO30" s="26"/>
      <c r="AP30" s="26"/>
      <c r="AQ30" s="23"/>
      <c r="AR30" s="23"/>
      <c r="AS30" s="23"/>
      <c r="AT30" s="23"/>
      <c r="AU30" s="26"/>
      <c r="AV30" s="26"/>
      <c r="AW30" s="26"/>
      <c r="AX30" s="26"/>
      <c r="AY30" s="26"/>
      <c r="AZ30" s="26"/>
      <c r="BA30" s="26"/>
      <c r="BB30" s="26"/>
      <c r="BC30" s="22"/>
      <c r="BD30" s="23"/>
      <c r="BE30" s="23"/>
      <c r="BF30" s="22"/>
      <c r="BG30" s="22"/>
      <c r="BH30" s="23"/>
      <c r="BI30" s="23"/>
      <c r="BJ30" s="22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3"/>
      <c r="CI30" s="23"/>
      <c r="CJ30" s="22"/>
      <c r="CK30" s="22"/>
      <c r="CM30" s="22"/>
      <c r="CN30" s="23"/>
      <c r="CO30" s="22"/>
    </row>
    <row r="31">
      <c r="A31" s="22" t="s">
        <v>18</v>
      </c>
      <c r="B31" s="22" t="s">
        <v>18</v>
      </c>
      <c r="C31" s="22" t="s">
        <v>19</v>
      </c>
      <c r="D31" s="22" t="s">
        <v>19</v>
      </c>
      <c r="E31" s="23">
        <v>1.0</v>
      </c>
      <c r="F31" s="23">
        <v>0.696763</v>
      </c>
      <c r="G31" s="22"/>
      <c r="H31" s="26"/>
      <c r="I31" s="26"/>
      <c r="J31" s="26"/>
      <c r="K31" s="26"/>
      <c r="L31" s="23"/>
      <c r="M31" s="23"/>
      <c r="N31" s="23"/>
      <c r="O31" s="23"/>
      <c r="P31" s="26"/>
      <c r="Q31" s="26"/>
      <c r="R31" s="26"/>
      <c r="S31" s="26"/>
      <c r="T31" s="26"/>
      <c r="U31" s="26"/>
      <c r="V31" s="26"/>
      <c r="W31" s="26"/>
      <c r="X31" s="23"/>
      <c r="Y31" s="26"/>
      <c r="Z31" s="26"/>
      <c r="AA31" s="26"/>
      <c r="AB31" s="26"/>
      <c r="AC31" s="26"/>
      <c r="AD31" s="26"/>
      <c r="AE31" s="26"/>
      <c r="AF31" s="26"/>
      <c r="AG31" s="23"/>
      <c r="AH31" s="23"/>
      <c r="AI31" s="23"/>
      <c r="AJ31" s="23"/>
      <c r="AK31" s="23"/>
      <c r="AL31" s="23"/>
      <c r="AM31" s="26"/>
      <c r="AN31" s="26"/>
      <c r="AO31" s="26"/>
      <c r="AP31" s="26"/>
      <c r="AQ31" s="23"/>
      <c r="AR31" s="23"/>
      <c r="AS31" s="23"/>
      <c r="AT31" s="23"/>
      <c r="AU31" s="26"/>
      <c r="AV31" s="26"/>
      <c r="AW31" s="26"/>
      <c r="AX31" s="26"/>
      <c r="AY31" s="26"/>
      <c r="AZ31" s="26"/>
      <c r="BA31" s="26"/>
      <c r="BB31" s="26"/>
      <c r="BC31" s="22"/>
      <c r="BD31" s="23"/>
      <c r="BE31" s="23"/>
      <c r="BF31" s="22"/>
      <c r="BG31" s="22"/>
      <c r="BH31" s="23"/>
      <c r="BI31" s="23"/>
      <c r="BJ31" s="22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3"/>
      <c r="CI31" s="23"/>
      <c r="CJ31" s="22"/>
      <c r="CK31" s="22"/>
      <c r="CM31" s="22"/>
      <c r="CN31" s="23"/>
      <c r="CO31" s="22"/>
    </row>
    <row r="32">
      <c r="A32" s="22" t="s">
        <v>18</v>
      </c>
      <c r="B32" s="22" t="s">
        <v>33</v>
      </c>
      <c r="C32" s="22" t="s">
        <v>34</v>
      </c>
      <c r="D32" s="22" t="s">
        <v>19</v>
      </c>
      <c r="E32" s="23">
        <v>1.0</v>
      </c>
      <c r="F32" s="23">
        <v>0.673699</v>
      </c>
      <c r="G32" s="22"/>
      <c r="H32" s="26"/>
      <c r="I32" s="26"/>
      <c r="J32" s="26"/>
      <c r="K32" s="26"/>
      <c r="L32" s="23"/>
      <c r="M32" s="23"/>
      <c r="N32" s="23"/>
      <c r="O32" s="23"/>
      <c r="P32" s="26"/>
      <c r="Q32" s="26"/>
      <c r="R32" s="26"/>
      <c r="S32" s="26"/>
      <c r="T32" s="26"/>
      <c r="U32" s="26"/>
      <c r="V32" s="26"/>
      <c r="W32" s="26"/>
      <c r="X32" s="23"/>
      <c r="Y32" s="26"/>
      <c r="Z32" s="26"/>
      <c r="AA32" s="26"/>
      <c r="AB32" s="26"/>
      <c r="AC32" s="26"/>
      <c r="AD32" s="26"/>
      <c r="AE32" s="26"/>
      <c r="AF32" s="26"/>
      <c r="AG32" s="23"/>
      <c r="AH32" s="23"/>
      <c r="AI32" s="23"/>
      <c r="AJ32" s="23"/>
      <c r="AK32" s="23"/>
      <c r="AL32" s="23"/>
      <c r="AM32" s="26"/>
      <c r="AN32" s="26"/>
      <c r="AO32" s="26"/>
      <c r="AP32" s="26"/>
      <c r="AQ32" s="23"/>
      <c r="AR32" s="23"/>
      <c r="AS32" s="23"/>
      <c r="AT32" s="23"/>
      <c r="AU32" s="26"/>
      <c r="AV32" s="26"/>
      <c r="AW32" s="26"/>
      <c r="AX32" s="26"/>
      <c r="AY32" s="26"/>
      <c r="AZ32" s="26"/>
      <c r="BA32" s="26"/>
      <c r="BB32" s="26"/>
      <c r="BC32" s="22"/>
      <c r="BD32" s="23"/>
      <c r="BE32" s="23"/>
      <c r="BF32" s="22"/>
      <c r="BG32" s="22"/>
      <c r="BH32" s="23"/>
      <c r="BI32" s="23"/>
      <c r="BJ32" s="22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3"/>
      <c r="CI32" s="23"/>
      <c r="CJ32" s="22"/>
      <c r="CK32" s="22"/>
      <c r="CM32" s="22"/>
      <c r="CN32" s="23"/>
      <c r="CO32" s="22"/>
    </row>
    <row r="33">
      <c r="A33" s="22" t="s">
        <v>18</v>
      </c>
      <c r="B33" s="22" t="s">
        <v>33</v>
      </c>
      <c r="C33" s="22" t="s">
        <v>34</v>
      </c>
      <c r="D33" s="22" t="s">
        <v>19</v>
      </c>
      <c r="E33" s="23">
        <v>1.0</v>
      </c>
      <c r="F33" s="23">
        <v>0.578779</v>
      </c>
      <c r="G33" s="22"/>
      <c r="H33" s="26"/>
      <c r="I33" s="26"/>
      <c r="J33" s="26"/>
      <c r="K33" s="26"/>
      <c r="L33" s="23"/>
      <c r="M33" s="23"/>
      <c r="N33" s="23"/>
      <c r="O33" s="23"/>
      <c r="P33" s="26"/>
      <c r="Q33" s="26"/>
      <c r="R33" s="26"/>
      <c r="S33" s="26"/>
      <c r="T33" s="26"/>
      <c r="U33" s="26"/>
      <c r="V33" s="26"/>
      <c r="W33" s="26"/>
      <c r="X33" s="23"/>
      <c r="Y33" s="26"/>
      <c r="Z33" s="26"/>
      <c r="AA33" s="26"/>
      <c r="AB33" s="26"/>
      <c r="AC33" s="26"/>
      <c r="AD33" s="26"/>
      <c r="AE33" s="26"/>
      <c r="AF33" s="26"/>
      <c r="AG33" s="23"/>
      <c r="AH33" s="23"/>
      <c r="AI33" s="23"/>
      <c r="AJ33" s="23"/>
      <c r="AK33" s="23"/>
      <c r="AL33" s="23"/>
      <c r="AM33" s="26"/>
      <c r="AN33" s="26"/>
      <c r="AO33" s="26"/>
      <c r="AP33" s="26"/>
      <c r="AQ33" s="23"/>
      <c r="AR33" s="23"/>
      <c r="AS33" s="23"/>
      <c r="AT33" s="23"/>
      <c r="AU33" s="26"/>
      <c r="AV33" s="26"/>
      <c r="AW33" s="26"/>
      <c r="AX33" s="26"/>
      <c r="AY33" s="26"/>
      <c r="AZ33" s="26"/>
      <c r="BA33" s="26"/>
      <c r="BB33" s="26"/>
      <c r="BC33" s="22"/>
      <c r="BD33" s="23"/>
      <c r="BE33" s="23"/>
      <c r="BF33" s="22"/>
      <c r="BG33" s="22"/>
      <c r="BH33" s="23"/>
      <c r="BI33" s="23"/>
      <c r="BJ33" s="22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3"/>
      <c r="CI33" s="23"/>
      <c r="CJ33" s="22"/>
      <c r="CK33" s="22"/>
      <c r="CM33" s="22"/>
      <c r="CN33" s="23"/>
      <c r="CO33" s="22"/>
    </row>
    <row r="34">
      <c r="A34" s="22" t="s">
        <v>18</v>
      </c>
      <c r="B34" s="22" t="s">
        <v>33</v>
      </c>
      <c r="C34" s="22" t="s">
        <v>34</v>
      </c>
      <c r="D34" s="22" t="s">
        <v>19</v>
      </c>
      <c r="E34" s="23">
        <v>1.0</v>
      </c>
      <c r="F34" s="23">
        <v>0.549821</v>
      </c>
      <c r="G34" s="22"/>
      <c r="H34" s="26"/>
      <c r="I34" s="26"/>
      <c r="J34" s="26"/>
      <c r="K34" s="26"/>
      <c r="L34" s="23"/>
      <c r="M34" s="23"/>
      <c r="N34" s="23"/>
      <c r="O34" s="23"/>
      <c r="P34" s="26"/>
      <c r="Q34" s="26"/>
      <c r="R34" s="26"/>
      <c r="S34" s="26"/>
      <c r="T34" s="26"/>
      <c r="U34" s="26"/>
      <c r="V34" s="26"/>
      <c r="W34" s="26"/>
      <c r="X34" s="23"/>
      <c r="Y34" s="26"/>
      <c r="Z34" s="26"/>
      <c r="AA34" s="26"/>
      <c r="AB34" s="26"/>
      <c r="AC34" s="26"/>
      <c r="AD34" s="26"/>
      <c r="AE34" s="26"/>
      <c r="AF34" s="26"/>
      <c r="AG34" s="23"/>
      <c r="AH34" s="23"/>
      <c r="AI34" s="23"/>
      <c r="AJ34" s="23"/>
      <c r="AK34" s="23"/>
      <c r="AL34" s="23"/>
      <c r="AM34" s="26"/>
      <c r="AN34" s="26"/>
      <c r="AO34" s="26"/>
      <c r="AP34" s="26"/>
      <c r="AQ34" s="23"/>
      <c r="AR34" s="23"/>
      <c r="AS34" s="23"/>
      <c r="AT34" s="23"/>
      <c r="AU34" s="26"/>
      <c r="AV34" s="26"/>
      <c r="AW34" s="26"/>
      <c r="AX34" s="26"/>
      <c r="AY34" s="26"/>
      <c r="AZ34" s="26"/>
      <c r="BA34" s="26"/>
      <c r="BB34" s="26"/>
      <c r="BC34" s="22"/>
      <c r="BD34" s="23"/>
      <c r="BE34" s="23"/>
      <c r="BF34" s="22"/>
      <c r="BG34" s="22"/>
      <c r="BH34" s="23"/>
      <c r="BI34" s="23"/>
      <c r="BJ34" s="22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3"/>
      <c r="CI34" s="23"/>
      <c r="CJ34" s="22"/>
      <c r="CK34" s="22"/>
      <c r="CM34" s="22"/>
      <c r="CN34" s="23"/>
      <c r="CO34" s="22"/>
    </row>
    <row r="35">
      <c r="A35" s="22" t="s">
        <v>18</v>
      </c>
      <c r="B35" s="22" t="s">
        <v>33</v>
      </c>
      <c r="C35" s="22" t="s">
        <v>34</v>
      </c>
      <c r="D35" s="22" t="s">
        <v>19</v>
      </c>
      <c r="E35" s="23">
        <v>1.0</v>
      </c>
      <c r="F35" s="23">
        <v>0.578618</v>
      </c>
      <c r="G35" s="22"/>
      <c r="H35" s="26"/>
      <c r="I35" s="26"/>
      <c r="J35" s="26"/>
      <c r="K35" s="26"/>
      <c r="L35" s="23"/>
      <c r="M35" s="23"/>
      <c r="N35" s="23"/>
      <c r="O35" s="23"/>
      <c r="P35" s="26"/>
      <c r="Q35" s="26"/>
      <c r="R35" s="26"/>
      <c r="S35" s="26"/>
      <c r="T35" s="26"/>
      <c r="U35" s="26"/>
      <c r="V35" s="26"/>
      <c r="W35" s="26"/>
      <c r="X35" s="23"/>
      <c r="Y35" s="26"/>
      <c r="Z35" s="26"/>
      <c r="AA35" s="26"/>
      <c r="AB35" s="26"/>
      <c r="AC35" s="26"/>
      <c r="AD35" s="26"/>
      <c r="AE35" s="26"/>
      <c r="AF35" s="26"/>
      <c r="AG35" s="23"/>
      <c r="AH35" s="23"/>
      <c r="AI35" s="23"/>
      <c r="AJ35" s="23"/>
      <c r="AK35" s="23"/>
      <c r="AL35" s="23"/>
      <c r="AM35" s="26"/>
      <c r="AN35" s="26"/>
      <c r="AO35" s="26"/>
      <c r="AP35" s="26"/>
      <c r="AQ35" s="23"/>
      <c r="AR35" s="23"/>
      <c r="AS35" s="23"/>
      <c r="AT35" s="23"/>
      <c r="AU35" s="26"/>
      <c r="AV35" s="26"/>
      <c r="AW35" s="26"/>
      <c r="AX35" s="26"/>
      <c r="AY35" s="26"/>
      <c r="AZ35" s="26"/>
      <c r="BA35" s="26"/>
      <c r="BB35" s="26"/>
      <c r="BC35" s="22"/>
      <c r="BD35" s="23"/>
      <c r="BE35" s="23"/>
      <c r="BF35" s="22"/>
      <c r="BG35" s="22"/>
      <c r="BH35" s="23"/>
      <c r="BI35" s="23"/>
      <c r="BJ35" s="22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3"/>
      <c r="CI35" s="23"/>
      <c r="CJ35" s="22"/>
      <c r="CK35" s="22"/>
      <c r="CM35" s="22"/>
      <c r="CN35" s="23"/>
      <c r="CO35" s="22"/>
    </row>
    <row r="36">
      <c r="A36" s="22" t="s">
        <v>18</v>
      </c>
      <c r="B36" s="22" t="s">
        <v>33</v>
      </c>
      <c r="C36" s="22" t="s">
        <v>34</v>
      </c>
      <c r="D36" s="22" t="s">
        <v>19</v>
      </c>
      <c r="E36" s="23">
        <v>1.0</v>
      </c>
      <c r="F36" s="23">
        <v>0.542991</v>
      </c>
      <c r="G36" s="22"/>
      <c r="H36" s="26"/>
      <c r="I36" s="26"/>
      <c r="J36" s="26"/>
      <c r="K36" s="26"/>
      <c r="L36" s="23"/>
      <c r="M36" s="23"/>
      <c r="N36" s="23"/>
      <c r="O36" s="23"/>
      <c r="P36" s="26"/>
      <c r="Q36" s="26"/>
      <c r="R36" s="26"/>
      <c r="S36" s="26"/>
      <c r="T36" s="26"/>
      <c r="U36" s="26"/>
      <c r="V36" s="26"/>
      <c r="W36" s="26"/>
      <c r="X36" s="23"/>
      <c r="Y36" s="26"/>
      <c r="Z36" s="26"/>
      <c r="AA36" s="26"/>
      <c r="AB36" s="26"/>
      <c r="AC36" s="26"/>
      <c r="AD36" s="26"/>
      <c r="AE36" s="26"/>
      <c r="AF36" s="26"/>
      <c r="AG36" s="23"/>
      <c r="AH36" s="23"/>
      <c r="AI36" s="23"/>
      <c r="AJ36" s="23"/>
      <c r="AK36" s="23"/>
      <c r="AL36" s="23"/>
      <c r="AM36" s="26"/>
      <c r="AN36" s="26"/>
      <c r="AO36" s="26"/>
      <c r="AP36" s="26"/>
      <c r="AQ36" s="23"/>
      <c r="AR36" s="23"/>
      <c r="AS36" s="23"/>
      <c r="AT36" s="23"/>
      <c r="AU36" s="26"/>
      <c r="AV36" s="26"/>
      <c r="AW36" s="26"/>
      <c r="AX36" s="26"/>
      <c r="AY36" s="26"/>
      <c r="AZ36" s="26"/>
      <c r="BA36" s="26"/>
      <c r="BB36" s="26"/>
      <c r="BC36" s="22"/>
      <c r="BD36" s="23"/>
      <c r="BE36" s="23"/>
      <c r="BF36" s="22"/>
      <c r="BG36" s="22"/>
      <c r="BH36" s="23"/>
      <c r="BI36" s="23"/>
      <c r="BJ36" s="22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3"/>
      <c r="CI36" s="23"/>
      <c r="CJ36" s="22"/>
      <c r="CK36" s="22"/>
      <c r="CM36" s="22"/>
      <c r="CN36" s="23"/>
      <c r="CO36" s="22"/>
    </row>
    <row r="37">
      <c r="A37" s="22" t="s">
        <v>18</v>
      </c>
      <c r="B37" s="22" t="s">
        <v>33</v>
      </c>
      <c r="C37" s="22" t="s">
        <v>34</v>
      </c>
      <c r="D37" s="22" t="s">
        <v>19</v>
      </c>
      <c r="E37" s="23">
        <v>1.0</v>
      </c>
      <c r="F37" s="23">
        <v>1.405929</v>
      </c>
      <c r="G37" s="22"/>
      <c r="H37" s="26"/>
      <c r="I37" s="26"/>
      <c r="J37" s="26"/>
      <c r="K37" s="26"/>
      <c r="L37" s="23"/>
      <c r="M37" s="23"/>
      <c r="N37" s="23"/>
      <c r="O37" s="23"/>
      <c r="P37" s="26"/>
      <c r="Q37" s="26"/>
      <c r="R37" s="26"/>
      <c r="S37" s="26"/>
      <c r="T37" s="26"/>
      <c r="U37" s="26"/>
      <c r="V37" s="26"/>
      <c r="W37" s="26"/>
      <c r="X37" s="23"/>
      <c r="Y37" s="26"/>
      <c r="Z37" s="26"/>
      <c r="AA37" s="26"/>
      <c r="AB37" s="26"/>
      <c r="AC37" s="26"/>
      <c r="AD37" s="26"/>
      <c r="AE37" s="26"/>
      <c r="AF37" s="26"/>
      <c r="AG37" s="23"/>
      <c r="AH37" s="23"/>
      <c r="AI37" s="23"/>
      <c r="AJ37" s="23"/>
      <c r="AK37" s="23"/>
      <c r="AL37" s="23"/>
      <c r="AM37" s="26"/>
      <c r="AN37" s="26"/>
      <c r="AO37" s="26"/>
      <c r="AP37" s="26"/>
      <c r="AQ37" s="23"/>
      <c r="AR37" s="23"/>
      <c r="AS37" s="23"/>
      <c r="AT37" s="23"/>
      <c r="AU37" s="26"/>
      <c r="AV37" s="26"/>
      <c r="AW37" s="26"/>
      <c r="AX37" s="26"/>
      <c r="AY37" s="26"/>
      <c r="AZ37" s="26"/>
      <c r="BA37" s="26"/>
      <c r="BB37" s="26"/>
      <c r="BC37" s="22"/>
      <c r="BD37" s="23"/>
      <c r="BE37" s="23"/>
      <c r="BF37" s="22"/>
      <c r="BG37" s="22"/>
      <c r="BH37" s="23"/>
      <c r="BI37" s="23"/>
      <c r="BJ37" s="22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3"/>
      <c r="CI37" s="23"/>
      <c r="CJ37" s="22"/>
      <c r="CK37" s="22"/>
      <c r="CM37" s="22"/>
      <c r="CN37" s="23"/>
      <c r="CO37" s="22"/>
    </row>
    <row r="38">
      <c r="A38" s="22" t="s">
        <v>18</v>
      </c>
      <c r="B38" s="22" t="s">
        <v>33</v>
      </c>
      <c r="C38" s="22" t="s">
        <v>34</v>
      </c>
      <c r="D38" s="22" t="s">
        <v>19</v>
      </c>
      <c r="E38" s="23">
        <v>1.0</v>
      </c>
      <c r="F38" s="23">
        <v>2.002824</v>
      </c>
      <c r="G38" s="22"/>
      <c r="H38" s="26"/>
      <c r="I38" s="26"/>
      <c r="J38" s="26"/>
      <c r="K38" s="26"/>
      <c r="L38" s="23"/>
      <c r="M38" s="23"/>
      <c r="N38" s="23"/>
      <c r="O38" s="23"/>
      <c r="P38" s="26"/>
      <c r="Q38" s="26"/>
      <c r="R38" s="26"/>
      <c r="S38" s="26"/>
      <c r="T38" s="26"/>
      <c r="U38" s="26"/>
      <c r="V38" s="26"/>
      <c r="W38" s="26"/>
      <c r="X38" s="23"/>
      <c r="Y38" s="26"/>
      <c r="Z38" s="26"/>
      <c r="AA38" s="26"/>
      <c r="AB38" s="26"/>
      <c r="AC38" s="26"/>
      <c r="AD38" s="26"/>
      <c r="AE38" s="26"/>
      <c r="AF38" s="26"/>
      <c r="AG38" s="23"/>
      <c r="AH38" s="23"/>
      <c r="AI38" s="23"/>
      <c r="AJ38" s="23"/>
      <c r="AK38" s="23"/>
      <c r="AL38" s="23"/>
      <c r="AM38" s="26"/>
      <c r="AN38" s="26"/>
      <c r="AO38" s="26"/>
      <c r="AP38" s="26"/>
      <c r="AQ38" s="23"/>
      <c r="AR38" s="23"/>
      <c r="AS38" s="23"/>
      <c r="AT38" s="23"/>
      <c r="AU38" s="26"/>
      <c r="AV38" s="26"/>
      <c r="AW38" s="26"/>
      <c r="AX38" s="26"/>
      <c r="AY38" s="26"/>
      <c r="AZ38" s="26"/>
      <c r="BA38" s="26"/>
      <c r="BB38" s="26"/>
      <c r="BC38" s="22"/>
      <c r="BD38" s="23"/>
      <c r="BE38" s="23"/>
      <c r="BF38" s="22"/>
      <c r="BG38" s="22"/>
      <c r="BH38" s="23"/>
      <c r="BI38" s="23"/>
      <c r="BJ38" s="22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3"/>
      <c r="CI38" s="23"/>
      <c r="CJ38" s="22"/>
      <c r="CK38" s="22"/>
      <c r="CM38" s="22"/>
      <c r="CN38" s="23"/>
      <c r="CO38" s="22"/>
    </row>
    <row r="39">
      <c r="A39" s="22" t="s">
        <v>18</v>
      </c>
      <c r="B39" s="22" t="s">
        <v>33</v>
      </c>
      <c r="C39" s="22" t="s">
        <v>34</v>
      </c>
      <c r="D39" s="22" t="s">
        <v>19</v>
      </c>
      <c r="E39" s="23">
        <v>1.0</v>
      </c>
      <c r="F39" s="23">
        <v>0.55889</v>
      </c>
      <c r="G39" s="22"/>
      <c r="H39" s="26"/>
      <c r="I39" s="26"/>
      <c r="J39" s="26"/>
      <c r="K39" s="26"/>
      <c r="L39" s="23"/>
      <c r="M39" s="23"/>
      <c r="N39" s="23"/>
      <c r="O39" s="23"/>
      <c r="P39" s="26"/>
      <c r="Q39" s="26"/>
      <c r="R39" s="26"/>
      <c r="S39" s="26"/>
      <c r="T39" s="26"/>
      <c r="U39" s="26"/>
      <c r="V39" s="26"/>
      <c r="W39" s="26"/>
      <c r="X39" s="23"/>
      <c r="Y39" s="26"/>
      <c r="Z39" s="26"/>
      <c r="AA39" s="26"/>
      <c r="AB39" s="26"/>
      <c r="AC39" s="26"/>
      <c r="AD39" s="26"/>
      <c r="AE39" s="26"/>
      <c r="AF39" s="26"/>
      <c r="AG39" s="23"/>
      <c r="AH39" s="23"/>
      <c r="AI39" s="23"/>
      <c r="AJ39" s="23"/>
      <c r="AK39" s="23"/>
      <c r="AL39" s="23"/>
      <c r="AM39" s="26"/>
      <c r="AN39" s="26"/>
      <c r="AO39" s="26"/>
      <c r="AP39" s="26"/>
      <c r="AQ39" s="23"/>
      <c r="AR39" s="23"/>
      <c r="AS39" s="23"/>
      <c r="AT39" s="23"/>
      <c r="AU39" s="26"/>
      <c r="AV39" s="26"/>
      <c r="AW39" s="26"/>
      <c r="AX39" s="26"/>
      <c r="AY39" s="26"/>
      <c r="AZ39" s="26"/>
      <c r="BA39" s="26"/>
      <c r="BB39" s="26"/>
      <c r="BC39" s="22"/>
      <c r="BD39" s="23"/>
      <c r="BE39" s="23"/>
      <c r="BF39" s="22"/>
      <c r="BG39" s="22"/>
      <c r="BH39" s="23"/>
      <c r="BI39" s="23"/>
      <c r="BJ39" s="22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3"/>
      <c r="CI39" s="23"/>
      <c r="CJ39" s="22"/>
      <c r="CK39" s="22"/>
      <c r="CM39" s="22"/>
      <c r="CN39" s="23"/>
      <c r="CO39" s="22"/>
    </row>
    <row r="40">
      <c r="A40" s="22" t="s">
        <v>18</v>
      </c>
      <c r="B40" s="22" t="s">
        <v>33</v>
      </c>
      <c r="C40" s="22" t="s">
        <v>34</v>
      </c>
      <c r="D40" s="22" t="s">
        <v>19</v>
      </c>
      <c r="E40" s="23">
        <v>1.0</v>
      </c>
      <c r="F40" s="23">
        <v>0.509232</v>
      </c>
      <c r="G40" s="22"/>
      <c r="H40" s="26"/>
      <c r="I40" s="26"/>
      <c r="J40" s="26"/>
      <c r="K40" s="26"/>
      <c r="L40" s="23"/>
      <c r="M40" s="23"/>
      <c r="N40" s="23"/>
      <c r="O40" s="23"/>
      <c r="P40" s="26"/>
      <c r="Q40" s="26"/>
      <c r="R40" s="26"/>
      <c r="S40" s="26"/>
      <c r="T40" s="26"/>
      <c r="U40" s="26"/>
      <c r="V40" s="26"/>
      <c r="W40" s="26"/>
      <c r="X40" s="23"/>
      <c r="Y40" s="26"/>
      <c r="Z40" s="26"/>
      <c r="AA40" s="26"/>
      <c r="AB40" s="26"/>
      <c r="AC40" s="26"/>
      <c r="AD40" s="26"/>
      <c r="AE40" s="26"/>
      <c r="AF40" s="26"/>
      <c r="AG40" s="23"/>
      <c r="AH40" s="23"/>
      <c r="AI40" s="23"/>
      <c r="AJ40" s="23"/>
      <c r="AK40" s="23"/>
      <c r="AL40" s="23"/>
      <c r="AM40" s="26"/>
      <c r="AN40" s="26"/>
      <c r="AO40" s="26"/>
      <c r="AP40" s="26"/>
      <c r="AQ40" s="23"/>
      <c r="AR40" s="23"/>
      <c r="AS40" s="23"/>
      <c r="AT40" s="23"/>
      <c r="AU40" s="26"/>
      <c r="AV40" s="26"/>
      <c r="AW40" s="26"/>
      <c r="AX40" s="26"/>
      <c r="AY40" s="26"/>
      <c r="AZ40" s="26"/>
      <c r="BA40" s="26"/>
      <c r="BB40" s="26"/>
      <c r="BC40" s="22"/>
      <c r="BD40" s="23"/>
      <c r="BE40" s="23"/>
      <c r="BF40" s="22"/>
      <c r="BG40" s="22"/>
      <c r="BH40" s="23"/>
      <c r="BI40" s="23"/>
      <c r="BJ40" s="22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3"/>
      <c r="CI40" s="23"/>
      <c r="CJ40" s="22"/>
      <c r="CK40" s="22"/>
      <c r="CM40" s="22"/>
      <c r="CN40" s="23"/>
      <c r="CO40" s="22"/>
    </row>
    <row r="41">
      <c r="A41" s="22" t="s">
        <v>18</v>
      </c>
      <c r="B41" s="22" t="s">
        <v>33</v>
      </c>
      <c r="C41" s="22" t="s">
        <v>34</v>
      </c>
      <c r="D41" s="22" t="s">
        <v>19</v>
      </c>
      <c r="E41" s="23">
        <v>1.0</v>
      </c>
      <c r="F41" s="23">
        <v>0.508745</v>
      </c>
      <c r="G41" s="22"/>
      <c r="H41" s="26"/>
      <c r="I41" s="26"/>
      <c r="J41" s="26"/>
      <c r="K41" s="26"/>
      <c r="L41" s="23"/>
      <c r="M41" s="23"/>
      <c r="N41" s="23"/>
      <c r="O41" s="23"/>
      <c r="P41" s="26"/>
      <c r="Q41" s="26"/>
      <c r="R41" s="26"/>
      <c r="S41" s="26"/>
      <c r="T41" s="26"/>
      <c r="U41" s="26"/>
      <c r="V41" s="26"/>
      <c r="W41" s="26"/>
      <c r="X41" s="23"/>
      <c r="Y41" s="26"/>
      <c r="Z41" s="26"/>
      <c r="AA41" s="26"/>
      <c r="AB41" s="26"/>
      <c r="AC41" s="26"/>
      <c r="AD41" s="26"/>
      <c r="AE41" s="26"/>
      <c r="AF41" s="26"/>
      <c r="AG41" s="23"/>
      <c r="AH41" s="23"/>
      <c r="AI41" s="23"/>
      <c r="AJ41" s="23"/>
      <c r="AK41" s="23"/>
      <c r="AL41" s="23"/>
      <c r="AM41" s="26"/>
      <c r="AN41" s="26"/>
      <c r="AO41" s="26"/>
      <c r="AP41" s="26"/>
      <c r="AQ41" s="23"/>
      <c r="AR41" s="23"/>
      <c r="AS41" s="23"/>
      <c r="AT41" s="23"/>
      <c r="AU41" s="26"/>
      <c r="AV41" s="26"/>
      <c r="AW41" s="26"/>
      <c r="AX41" s="26"/>
      <c r="AY41" s="26"/>
      <c r="AZ41" s="26"/>
      <c r="BA41" s="26"/>
      <c r="BB41" s="26"/>
      <c r="BC41" s="22"/>
      <c r="BD41" s="23"/>
      <c r="BE41" s="23"/>
      <c r="BF41" s="22"/>
      <c r="BG41" s="22"/>
      <c r="BH41" s="23"/>
      <c r="BI41" s="23"/>
      <c r="BJ41" s="22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3"/>
      <c r="CI41" s="23"/>
      <c r="CJ41" s="22"/>
      <c r="CK41" s="22"/>
      <c r="CM41" s="22"/>
      <c r="CN41" s="23"/>
      <c r="CO41" s="22"/>
    </row>
    <row r="42">
      <c r="A42" s="22" t="s">
        <v>18</v>
      </c>
      <c r="B42" s="22" t="s">
        <v>33</v>
      </c>
      <c r="C42" s="22" t="s">
        <v>34</v>
      </c>
      <c r="D42" s="22" t="s">
        <v>19</v>
      </c>
      <c r="E42" s="23">
        <v>1.0</v>
      </c>
      <c r="F42" s="23">
        <v>0.486723</v>
      </c>
      <c r="G42" s="22"/>
      <c r="H42" s="26"/>
      <c r="I42" s="26"/>
      <c r="J42" s="26"/>
      <c r="K42" s="26"/>
      <c r="L42" s="23"/>
      <c r="M42" s="23"/>
      <c r="N42" s="23"/>
      <c r="O42" s="23"/>
      <c r="P42" s="26"/>
      <c r="Q42" s="26"/>
      <c r="R42" s="26"/>
      <c r="S42" s="26"/>
      <c r="T42" s="26"/>
      <c r="U42" s="26"/>
      <c r="V42" s="26"/>
      <c r="W42" s="26"/>
      <c r="X42" s="23"/>
      <c r="Y42" s="26"/>
      <c r="Z42" s="26"/>
      <c r="AA42" s="26"/>
      <c r="AB42" s="26"/>
      <c r="AC42" s="26"/>
      <c r="AD42" s="26"/>
      <c r="AE42" s="26"/>
      <c r="AF42" s="26"/>
      <c r="AG42" s="23"/>
      <c r="AH42" s="23"/>
      <c r="AI42" s="23"/>
      <c r="AJ42" s="23"/>
      <c r="AK42" s="23"/>
      <c r="AL42" s="23"/>
      <c r="AM42" s="26"/>
      <c r="AN42" s="26"/>
      <c r="AO42" s="26"/>
      <c r="AP42" s="26"/>
      <c r="AQ42" s="23"/>
      <c r="AR42" s="23"/>
      <c r="AS42" s="23"/>
      <c r="AT42" s="23"/>
      <c r="AU42" s="26"/>
      <c r="AV42" s="26"/>
      <c r="AW42" s="26"/>
      <c r="AX42" s="26"/>
      <c r="AY42" s="26"/>
      <c r="AZ42" s="26"/>
      <c r="BA42" s="26"/>
      <c r="BB42" s="26"/>
      <c r="BC42" s="22"/>
      <c r="BD42" s="23"/>
      <c r="BE42" s="23"/>
      <c r="BF42" s="22"/>
      <c r="BG42" s="22"/>
      <c r="BH42" s="23"/>
      <c r="BI42" s="23"/>
      <c r="BJ42" s="22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3"/>
      <c r="CI42" s="23"/>
      <c r="CJ42" s="22"/>
      <c r="CK42" s="22"/>
      <c r="CM42" s="22"/>
      <c r="CN42" s="23"/>
      <c r="CO42" s="22"/>
    </row>
    <row r="43">
      <c r="A43" s="22" t="s">
        <v>18</v>
      </c>
      <c r="B43" s="22" t="s">
        <v>33</v>
      </c>
      <c r="C43" s="22" t="s">
        <v>34</v>
      </c>
      <c r="D43" s="22" t="s">
        <v>19</v>
      </c>
      <c r="E43" s="23">
        <v>1.0</v>
      </c>
      <c r="F43" s="23">
        <v>2.30425</v>
      </c>
      <c r="G43" s="22"/>
      <c r="H43" s="26"/>
      <c r="I43" s="26"/>
      <c r="J43" s="26"/>
      <c r="K43" s="26"/>
      <c r="L43" s="23"/>
      <c r="M43" s="23"/>
      <c r="N43" s="23"/>
      <c r="O43" s="23"/>
      <c r="P43" s="26"/>
      <c r="Q43" s="26"/>
      <c r="R43" s="26"/>
      <c r="S43" s="26"/>
      <c r="T43" s="26"/>
      <c r="U43" s="26"/>
      <c r="V43" s="26"/>
      <c r="W43" s="26"/>
      <c r="X43" s="23"/>
      <c r="Y43" s="26"/>
      <c r="Z43" s="26"/>
      <c r="AA43" s="26"/>
      <c r="AB43" s="26"/>
      <c r="AC43" s="26"/>
      <c r="AD43" s="26"/>
      <c r="AE43" s="26"/>
      <c r="AF43" s="26"/>
      <c r="AG43" s="23"/>
      <c r="AH43" s="23"/>
      <c r="AI43" s="23"/>
      <c r="AJ43" s="23"/>
      <c r="AK43" s="23"/>
      <c r="AL43" s="23"/>
      <c r="AM43" s="26"/>
      <c r="AN43" s="26"/>
      <c r="AO43" s="26"/>
      <c r="AP43" s="26"/>
      <c r="AQ43" s="23"/>
      <c r="AR43" s="23"/>
      <c r="AS43" s="23"/>
      <c r="AT43" s="23"/>
      <c r="AU43" s="26"/>
      <c r="AV43" s="26"/>
      <c r="AW43" s="26"/>
      <c r="AX43" s="26"/>
      <c r="AY43" s="26"/>
      <c r="AZ43" s="26"/>
      <c r="BA43" s="26"/>
      <c r="BB43" s="26"/>
      <c r="BC43" s="22"/>
      <c r="BD43" s="23"/>
      <c r="BE43" s="23"/>
      <c r="BF43" s="22"/>
      <c r="BG43" s="22"/>
      <c r="BH43" s="23"/>
      <c r="BI43" s="23"/>
      <c r="BJ43" s="22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3"/>
      <c r="CI43" s="23"/>
      <c r="CJ43" s="22"/>
      <c r="CK43" s="22"/>
      <c r="CM43" s="22"/>
      <c r="CN43" s="23"/>
      <c r="CO43" s="22"/>
    </row>
    <row r="44">
      <c r="A44" s="22" t="s">
        <v>18</v>
      </c>
      <c r="B44" s="22" t="s">
        <v>33</v>
      </c>
      <c r="C44" s="22" t="s">
        <v>34</v>
      </c>
      <c r="D44" s="22" t="s">
        <v>19</v>
      </c>
      <c r="E44" s="23">
        <v>1.0</v>
      </c>
      <c r="F44" s="23">
        <v>0.633615</v>
      </c>
      <c r="G44" s="22"/>
      <c r="H44" s="26"/>
      <c r="I44" s="26"/>
      <c r="J44" s="26"/>
      <c r="K44" s="26"/>
      <c r="L44" s="23"/>
      <c r="M44" s="23"/>
      <c r="N44" s="23"/>
      <c r="O44" s="23"/>
      <c r="P44" s="26"/>
      <c r="Q44" s="26"/>
      <c r="R44" s="26"/>
      <c r="S44" s="26"/>
      <c r="T44" s="26"/>
      <c r="U44" s="26"/>
      <c r="V44" s="26"/>
      <c r="W44" s="26"/>
      <c r="X44" s="23"/>
      <c r="Y44" s="26"/>
      <c r="Z44" s="26"/>
      <c r="AA44" s="26"/>
      <c r="AB44" s="26"/>
      <c r="AC44" s="26"/>
      <c r="AD44" s="26"/>
      <c r="AE44" s="26"/>
      <c r="AF44" s="26"/>
      <c r="AG44" s="23"/>
      <c r="AH44" s="23"/>
      <c r="AI44" s="23"/>
      <c r="AJ44" s="23"/>
      <c r="AK44" s="23"/>
      <c r="AL44" s="23"/>
      <c r="AM44" s="26"/>
      <c r="AN44" s="26"/>
      <c r="AO44" s="26"/>
      <c r="AP44" s="26"/>
      <c r="AQ44" s="23"/>
      <c r="AR44" s="23"/>
      <c r="AS44" s="23"/>
      <c r="AT44" s="23"/>
      <c r="AU44" s="26"/>
      <c r="AV44" s="26"/>
      <c r="AW44" s="26"/>
      <c r="AX44" s="26"/>
      <c r="AY44" s="26"/>
      <c r="AZ44" s="26"/>
      <c r="BA44" s="26"/>
      <c r="BB44" s="26"/>
      <c r="BC44" s="22"/>
      <c r="BD44" s="23"/>
      <c r="BE44" s="23"/>
      <c r="BF44" s="22"/>
      <c r="BG44" s="22"/>
      <c r="BH44" s="23"/>
      <c r="BI44" s="23"/>
      <c r="BJ44" s="22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3"/>
      <c r="CI44" s="23"/>
      <c r="CJ44" s="22"/>
      <c r="CK44" s="22"/>
      <c r="CM44" s="22"/>
      <c r="CN44" s="23"/>
      <c r="CO44" s="22"/>
    </row>
    <row r="45">
      <c r="A45" s="22" t="s">
        <v>18</v>
      </c>
      <c r="B45" s="22" t="s">
        <v>33</v>
      </c>
      <c r="C45" s="22" t="s">
        <v>34</v>
      </c>
      <c r="D45" s="22" t="s">
        <v>19</v>
      </c>
      <c r="E45" s="23">
        <v>1.0</v>
      </c>
      <c r="F45" s="23">
        <v>1.55993</v>
      </c>
      <c r="G45" s="22"/>
      <c r="H45" s="26"/>
      <c r="I45" s="26"/>
      <c r="J45" s="26"/>
      <c r="K45" s="26"/>
      <c r="L45" s="23"/>
      <c r="M45" s="23"/>
      <c r="N45" s="23"/>
      <c r="O45" s="23"/>
      <c r="P45" s="26"/>
      <c r="Q45" s="26"/>
      <c r="R45" s="26"/>
      <c r="S45" s="26"/>
      <c r="T45" s="26"/>
      <c r="U45" s="26"/>
      <c r="V45" s="26"/>
      <c r="W45" s="26"/>
      <c r="X45" s="23"/>
      <c r="Y45" s="26"/>
      <c r="Z45" s="26"/>
      <c r="AA45" s="26"/>
      <c r="AB45" s="26"/>
      <c r="AC45" s="26"/>
      <c r="AD45" s="26"/>
      <c r="AE45" s="26"/>
      <c r="AF45" s="26"/>
      <c r="AG45" s="23"/>
      <c r="AH45" s="23"/>
      <c r="AI45" s="23"/>
      <c r="AJ45" s="23"/>
      <c r="AK45" s="23"/>
      <c r="AL45" s="23"/>
      <c r="AM45" s="26"/>
      <c r="AN45" s="26"/>
      <c r="AO45" s="26"/>
      <c r="AP45" s="26"/>
      <c r="AQ45" s="23"/>
      <c r="AR45" s="23"/>
      <c r="AS45" s="23"/>
      <c r="AT45" s="23"/>
      <c r="AU45" s="26"/>
      <c r="AV45" s="26"/>
      <c r="AW45" s="26"/>
      <c r="AX45" s="26"/>
      <c r="AY45" s="26"/>
      <c r="AZ45" s="26"/>
      <c r="BA45" s="26"/>
      <c r="BB45" s="26"/>
      <c r="BC45" s="22"/>
      <c r="BD45" s="23"/>
      <c r="BE45" s="23"/>
      <c r="BF45" s="22"/>
      <c r="BG45" s="22"/>
      <c r="BH45" s="23"/>
      <c r="BI45" s="23"/>
      <c r="BJ45" s="22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3"/>
      <c r="CI45" s="23"/>
      <c r="CJ45" s="22"/>
      <c r="CK45" s="22"/>
      <c r="CM45" s="22"/>
      <c r="CN45" s="23"/>
      <c r="CO45" s="22"/>
    </row>
    <row r="46">
      <c r="A46" s="22" t="s">
        <v>18</v>
      </c>
      <c r="B46" s="22" t="s">
        <v>33</v>
      </c>
      <c r="C46" s="22" t="s">
        <v>34</v>
      </c>
      <c r="D46" s="22" t="s">
        <v>19</v>
      </c>
      <c r="E46" s="23">
        <v>1.0</v>
      </c>
      <c r="F46" s="23">
        <v>0.63575</v>
      </c>
      <c r="G46" s="22"/>
      <c r="H46" s="26"/>
      <c r="I46" s="26"/>
      <c r="J46" s="26"/>
      <c r="K46" s="26"/>
      <c r="L46" s="23"/>
      <c r="M46" s="23"/>
      <c r="N46" s="23"/>
      <c r="O46" s="23"/>
      <c r="P46" s="26"/>
      <c r="Q46" s="26"/>
      <c r="R46" s="26"/>
      <c r="S46" s="26"/>
      <c r="T46" s="26"/>
      <c r="U46" s="26"/>
      <c r="V46" s="26"/>
      <c r="W46" s="26"/>
      <c r="X46" s="23"/>
      <c r="Y46" s="26"/>
      <c r="Z46" s="26"/>
      <c r="AA46" s="26"/>
      <c r="AB46" s="26"/>
      <c r="AC46" s="26"/>
      <c r="AD46" s="26"/>
      <c r="AE46" s="26"/>
      <c r="AF46" s="26"/>
      <c r="AG46" s="23"/>
      <c r="AH46" s="23"/>
      <c r="AI46" s="23"/>
      <c r="AJ46" s="23"/>
      <c r="AK46" s="23"/>
      <c r="AL46" s="23"/>
      <c r="AM46" s="26"/>
      <c r="AN46" s="26"/>
      <c r="AO46" s="26"/>
      <c r="AP46" s="26"/>
      <c r="AQ46" s="23"/>
      <c r="AR46" s="23"/>
      <c r="AS46" s="23"/>
      <c r="AT46" s="23"/>
      <c r="AU46" s="26"/>
      <c r="AV46" s="26"/>
      <c r="AW46" s="26"/>
      <c r="AX46" s="26"/>
      <c r="AY46" s="26"/>
      <c r="AZ46" s="26"/>
      <c r="BA46" s="26"/>
      <c r="BB46" s="26"/>
      <c r="BC46" s="22"/>
      <c r="BD46" s="23"/>
      <c r="BE46" s="23"/>
      <c r="BF46" s="22"/>
      <c r="BG46" s="22"/>
      <c r="BH46" s="23"/>
      <c r="BI46" s="23"/>
      <c r="BJ46" s="22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3"/>
      <c r="CI46" s="23"/>
      <c r="CJ46" s="22"/>
      <c r="CK46" s="22"/>
      <c r="CM46" s="22"/>
      <c r="CN46" s="23"/>
      <c r="CO46" s="22"/>
    </row>
    <row r="47">
      <c r="A47" s="22" t="s">
        <v>18</v>
      </c>
      <c r="B47" s="22" t="s">
        <v>33</v>
      </c>
      <c r="C47" s="22" t="s">
        <v>34</v>
      </c>
      <c r="D47" s="22" t="s">
        <v>19</v>
      </c>
      <c r="E47" s="23">
        <v>1.0</v>
      </c>
      <c r="F47" s="23">
        <v>0.490893</v>
      </c>
      <c r="G47" s="22"/>
      <c r="H47" s="26"/>
      <c r="I47" s="26"/>
      <c r="J47" s="26"/>
      <c r="K47" s="26"/>
      <c r="L47" s="23"/>
      <c r="M47" s="23"/>
      <c r="N47" s="23"/>
      <c r="O47" s="23"/>
      <c r="P47" s="26"/>
      <c r="Q47" s="26"/>
      <c r="R47" s="26"/>
      <c r="S47" s="26"/>
      <c r="T47" s="26"/>
      <c r="U47" s="26"/>
      <c r="V47" s="26"/>
      <c r="W47" s="26"/>
      <c r="X47" s="23"/>
      <c r="Y47" s="26"/>
      <c r="Z47" s="26"/>
      <c r="AA47" s="26"/>
      <c r="AB47" s="26"/>
      <c r="AC47" s="26"/>
      <c r="AD47" s="26"/>
      <c r="AE47" s="26"/>
      <c r="AF47" s="26"/>
      <c r="AG47" s="23"/>
      <c r="AH47" s="23"/>
      <c r="AI47" s="23"/>
      <c r="AJ47" s="23"/>
      <c r="AK47" s="23"/>
      <c r="AL47" s="23"/>
      <c r="AM47" s="26"/>
      <c r="AN47" s="26"/>
      <c r="AO47" s="26"/>
      <c r="AP47" s="26"/>
      <c r="AQ47" s="23"/>
      <c r="AR47" s="23"/>
      <c r="AS47" s="23"/>
      <c r="AT47" s="23"/>
      <c r="AU47" s="26"/>
      <c r="AV47" s="26"/>
      <c r="AW47" s="26"/>
      <c r="AX47" s="26"/>
      <c r="AY47" s="26"/>
      <c r="AZ47" s="26"/>
      <c r="BA47" s="26"/>
      <c r="BB47" s="26"/>
      <c r="BC47" s="22"/>
      <c r="BD47" s="23"/>
      <c r="BE47" s="23"/>
      <c r="BF47" s="22"/>
      <c r="BG47" s="22"/>
      <c r="BH47" s="23"/>
      <c r="BI47" s="23"/>
      <c r="BJ47" s="22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3"/>
      <c r="CI47" s="23"/>
      <c r="CJ47" s="22"/>
      <c r="CK47" s="22"/>
      <c r="CM47" s="22"/>
      <c r="CN47" s="23"/>
      <c r="CO47" s="22"/>
    </row>
    <row r="48">
      <c r="A48" s="22" t="s">
        <v>18</v>
      </c>
      <c r="B48" s="22" t="s">
        <v>33</v>
      </c>
      <c r="C48" s="22" t="s">
        <v>34</v>
      </c>
      <c r="D48" s="22" t="s">
        <v>19</v>
      </c>
      <c r="E48" s="23">
        <v>1.0</v>
      </c>
      <c r="F48" s="23">
        <v>0.373249</v>
      </c>
      <c r="G48" s="22"/>
      <c r="H48" s="26"/>
      <c r="I48" s="26"/>
      <c r="J48" s="26"/>
      <c r="K48" s="26"/>
      <c r="L48" s="23"/>
      <c r="M48" s="23"/>
      <c r="N48" s="23"/>
      <c r="O48" s="23"/>
      <c r="P48" s="26"/>
      <c r="Q48" s="26"/>
      <c r="R48" s="26"/>
      <c r="S48" s="26"/>
      <c r="T48" s="26"/>
      <c r="U48" s="26"/>
      <c r="V48" s="26"/>
      <c r="W48" s="26"/>
      <c r="X48" s="23"/>
      <c r="Y48" s="26"/>
      <c r="Z48" s="26"/>
      <c r="AA48" s="26"/>
      <c r="AB48" s="26"/>
      <c r="AC48" s="26"/>
      <c r="AD48" s="26"/>
      <c r="AE48" s="26"/>
      <c r="AF48" s="26"/>
      <c r="AG48" s="23"/>
      <c r="AH48" s="23"/>
      <c r="AI48" s="23"/>
      <c r="AJ48" s="23"/>
      <c r="AK48" s="23"/>
      <c r="AL48" s="23"/>
      <c r="AM48" s="26"/>
      <c r="AN48" s="26"/>
      <c r="AO48" s="26"/>
      <c r="AP48" s="26"/>
      <c r="AQ48" s="23"/>
      <c r="AR48" s="23"/>
      <c r="AS48" s="23"/>
      <c r="AT48" s="23"/>
      <c r="AU48" s="26"/>
      <c r="AV48" s="26"/>
      <c r="AW48" s="26"/>
      <c r="AX48" s="26"/>
      <c r="AY48" s="26"/>
      <c r="AZ48" s="26"/>
      <c r="BA48" s="26"/>
      <c r="BB48" s="26"/>
      <c r="BC48" s="22"/>
      <c r="BD48" s="23"/>
      <c r="BE48" s="23"/>
      <c r="BF48" s="22"/>
      <c r="BG48" s="22"/>
      <c r="BH48" s="23"/>
      <c r="BI48" s="23"/>
      <c r="BJ48" s="22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3"/>
      <c r="CI48" s="23"/>
      <c r="CJ48" s="22"/>
      <c r="CK48" s="22"/>
      <c r="CM48" s="22"/>
      <c r="CN48" s="23"/>
      <c r="CO48" s="22"/>
    </row>
    <row r="49">
      <c r="A49" s="22" t="s">
        <v>18</v>
      </c>
      <c r="B49" s="22" t="s">
        <v>33</v>
      </c>
      <c r="C49" s="22" t="s">
        <v>34</v>
      </c>
      <c r="D49" s="22" t="s">
        <v>19</v>
      </c>
      <c r="E49" s="23">
        <v>1.0</v>
      </c>
      <c r="F49" s="23">
        <v>0.953344</v>
      </c>
      <c r="G49" s="22"/>
      <c r="H49" s="26"/>
      <c r="I49" s="26"/>
      <c r="J49" s="26"/>
      <c r="K49" s="26"/>
      <c r="L49" s="23"/>
      <c r="M49" s="23"/>
      <c r="N49" s="23"/>
      <c r="O49" s="23"/>
      <c r="P49" s="26"/>
      <c r="Q49" s="26"/>
      <c r="R49" s="26"/>
      <c r="S49" s="26"/>
      <c r="T49" s="26"/>
      <c r="U49" s="26"/>
      <c r="V49" s="26"/>
      <c r="W49" s="26"/>
      <c r="X49" s="23"/>
      <c r="Y49" s="26"/>
      <c r="Z49" s="26"/>
      <c r="AA49" s="26"/>
      <c r="AB49" s="26"/>
      <c r="AC49" s="26"/>
      <c r="AD49" s="26"/>
      <c r="AE49" s="26"/>
      <c r="AF49" s="26"/>
      <c r="AG49" s="23"/>
      <c r="AH49" s="23"/>
      <c r="AI49" s="23"/>
      <c r="AJ49" s="23"/>
      <c r="AK49" s="23"/>
      <c r="AL49" s="23"/>
      <c r="AM49" s="26"/>
      <c r="AN49" s="26"/>
      <c r="AO49" s="26"/>
      <c r="AP49" s="26"/>
      <c r="AQ49" s="23"/>
      <c r="AR49" s="23"/>
      <c r="AS49" s="23"/>
      <c r="AT49" s="23"/>
      <c r="AU49" s="26"/>
      <c r="AV49" s="26"/>
      <c r="AW49" s="26"/>
      <c r="AX49" s="26"/>
      <c r="AY49" s="26"/>
      <c r="AZ49" s="26"/>
      <c r="BA49" s="26"/>
      <c r="BB49" s="26"/>
      <c r="BC49" s="22"/>
      <c r="BD49" s="23"/>
      <c r="BE49" s="23"/>
      <c r="BF49" s="22"/>
      <c r="BG49" s="22"/>
      <c r="BH49" s="23"/>
      <c r="BI49" s="23"/>
      <c r="BJ49" s="22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3"/>
      <c r="CI49" s="23"/>
      <c r="CJ49" s="22"/>
      <c r="CK49" s="22"/>
      <c r="CM49" s="22"/>
      <c r="CN49" s="23"/>
      <c r="CO49" s="22"/>
    </row>
    <row r="50">
      <c r="A50" s="22" t="s">
        <v>18</v>
      </c>
      <c r="B50" s="22" t="s">
        <v>33</v>
      </c>
      <c r="C50" s="22" t="s">
        <v>34</v>
      </c>
      <c r="D50" s="22" t="s">
        <v>19</v>
      </c>
      <c r="E50" s="23">
        <v>1.0</v>
      </c>
      <c r="F50" s="23">
        <v>1.035784</v>
      </c>
      <c r="G50" s="22"/>
      <c r="H50" s="26"/>
      <c r="I50" s="26"/>
      <c r="J50" s="26"/>
      <c r="K50" s="26"/>
      <c r="L50" s="23"/>
      <c r="M50" s="23"/>
      <c r="N50" s="23"/>
      <c r="O50" s="23"/>
      <c r="P50" s="26"/>
      <c r="Q50" s="26"/>
      <c r="R50" s="26"/>
      <c r="S50" s="26"/>
      <c r="T50" s="26"/>
      <c r="U50" s="26"/>
      <c r="V50" s="26"/>
      <c r="W50" s="26"/>
      <c r="X50" s="23"/>
      <c r="Y50" s="26"/>
      <c r="Z50" s="26"/>
      <c r="AA50" s="26"/>
      <c r="AB50" s="26"/>
      <c r="AC50" s="26"/>
      <c r="AD50" s="26"/>
      <c r="AE50" s="26"/>
      <c r="AF50" s="26"/>
      <c r="AG50" s="23"/>
      <c r="AH50" s="23"/>
      <c r="AI50" s="23"/>
      <c r="AJ50" s="23"/>
      <c r="AK50" s="23"/>
      <c r="AL50" s="23"/>
      <c r="AM50" s="26"/>
      <c r="AN50" s="26"/>
      <c r="AO50" s="26"/>
      <c r="AP50" s="26"/>
      <c r="AQ50" s="23"/>
      <c r="AR50" s="23"/>
      <c r="AS50" s="23"/>
      <c r="AT50" s="23"/>
      <c r="AU50" s="26"/>
      <c r="AV50" s="26"/>
      <c r="AW50" s="26"/>
      <c r="AX50" s="26"/>
      <c r="AY50" s="26"/>
      <c r="AZ50" s="26"/>
      <c r="BA50" s="26"/>
      <c r="BB50" s="26"/>
      <c r="BC50" s="22"/>
      <c r="BD50" s="23"/>
      <c r="BE50" s="23"/>
      <c r="BF50" s="22"/>
      <c r="BG50" s="22"/>
      <c r="BH50" s="23"/>
      <c r="BI50" s="23"/>
      <c r="BJ50" s="22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3"/>
      <c r="CI50" s="23"/>
      <c r="CJ50" s="22"/>
      <c r="CK50" s="22"/>
      <c r="CM50" s="22"/>
      <c r="CN50" s="23"/>
      <c r="CO50" s="22"/>
    </row>
    <row r="51">
      <c r="A51" s="22" t="s">
        <v>18</v>
      </c>
      <c r="B51" s="22" t="s">
        <v>33</v>
      </c>
      <c r="C51" s="22" t="s">
        <v>34</v>
      </c>
      <c r="D51" s="22" t="s">
        <v>19</v>
      </c>
      <c r="E51" s="23">
        <v>1.0</v>
      </c>
      <c r="F51" s="23">
        <v>0.521853</v>
      </c>
      <c r="G51" s="22"/>
      <c r="H51" s="26"/>
      <c r="I51" s="26"/>
      <c r="J51" s="26"/>
      <c r="K51" s="26"/>
      <c r="L51" s="23"/>
      <c r="M51" s="23"/>
      <c r="N51" s="23"/>
      <c r="O51" s="23"/>
      <c r="P51" s="26"/>
      <c r="Q51" s="26"/>
      <c r="R51" s="26"/>
      <c r="S51" s="26"/>
      <c r="T51" s="26"/>
      <c r="U51" s="26"/>
      <c r="V51" s="26"/>
      <c r="W51" s="26"/>
      <c r="X51" s="23"/>
      <c r="Y51" s="26"/>
      <c r="Z51" s="26"/>
      <c r="AA51" s="26"/>
      <c r="AB51" s="26"/>
      <c r="AC51" s="26"/>
      <c r="AD51" s="26"/>
      <c r="AE51" s="26"/>
      <c r="AF51" s="26"/>
      <c r="AG51" s="23"/>
      <c r="AH51" s="23"/>
      <c r="AI51" s="23"/>
      <c r="AJ51" s="23"/>
      <c r="AK51" s="23"/>
      <c r="AL51" s="23"/>
      <c r="AM51" s="26"/>
      <c r="AN51" s="26"/>
      <c r="AO51" s="26"/>
      <c r="AP51" s="26"/>
      <c r="AQ51" s="23"/>
      <c r="AR51" s="23"/>
      <c r="AS51" s="23"/>
      <c r="AT51" s="23"/>
      <c r="AU51" s="26"/>
      <c r="AV51" s="26"/>
      <c r="AW51" s="26"/>
      <c r="AX51" s="26"/>
      <c r="AY51" s="26"/>
      <c r="AZ51" s="26"/>
      <c r="BA51" s="26"/>
      <c r="BB51" s="26"/>
      <c r="BC51" s="22"/>
      <c r="BD51" s="23"/>
      <c r="BE51" s="23"/>
      <c r="BF51" s="22"/>
      <c r="BG51" s="22"/>
      <c r="BH51" s="23"/>
      <c r="BI51" s="23"/>
      <c r="BJ51" s="22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3"/>
      <c r="CI51" s="23"/>
      <c r="CJ51" s="22"/>
      <c r="CK51" s="22"/>
      <c r="CM51" s="22"/>
      <c r="CN51" s="23"/>
      <c r="CO51" s="22"/>
    </row>
    <row r="52">
      <c r="A52" s="22" t="s">
        <v>18</v>
      </c>
      <c r="B52" s="22" t="s">
        <v>33</v>
      </c>
      <c r="C52" s="22" t="s">
        <v>34</v>
      </c>
      <c r="D52" s="22" t="s">
        <v>19</v>
      </c>
      <c r="E52" s="23">
        <v>1.0</v>
      </c>
      <c r="F52" s="23">
        <v>1.174558</v>
      </c>
      <c r="G52" s="22"/>
      <c r="H52" s="26"/>
      <c r="I52" s="26"/>
      <c r="J52" s="26"/>
      <c r="K52" s="26"/>
      <c r="L52" s="23"/>
      <c r="M52" s="23"/>
      <c r="N52" s="23"/>
      <c r="O52" s="23"/>
      <c r="P52" s="26"/>
      <c r="Q52" s="26"/>
      <c r="R52" s="26"/>
      <c r="S52" s="26"/>
      <c r="T52" s="26"/>
      <c r="U52" s="26"/>
      <c r="V52" s="26"/>
      <c r="W52" s="26"/>
      <c r="X52" s="23"/>
      <c r="Y52" s="26"/>
      <c r="Z52" s="26"/>
      <c r="AA52" s="26"/>
      <c r="AB52" s="26"/>
      <c r="AC52" s="26"/>
      <c r="AD52" s="26"/>
      <c r="AE52" s="26"/>
      <c r="AF52" s="26"/>
      <c r="AG52" s="23"/>
      <c r="AH52" s="23"/>
      <c r="AI52" s="23"/>
      <c r="AJ52" s="23"/>
      <c r="AK52" s="23"/>
      <c r="AL52" s="23"/>
      <c r="AM52" s="26"/>
      <c r="AN52" s="26"/>
      <c r="AO52" s="26"/>
      <c r="AP52" s="26"/>
      <c r="AQ52" s="23"/>
      <c r="AR52" s="23"/>
      <c r="AS52" s="23"/>
      <c r="AT52" s="23"/>
      <c r="AU52" s="26"/>
      <c r="AV52" s="26"/>
      <c r="AW52" s="26"/>
      <c r="AX52" s="26"/>
      <c r="AY52" s="26"/>
      <c r="AZ52" s="26"/>
      <c r="BA52" s="26"/>
      <c r="BB52" s="26"/>
      <c r="BC52" s="22"/>
      <c r="BD52" s="23"/>
      <c r="BE52" s="23"/>
      <c r="BF52" s="22"/>
      <c r="BG52" s="22"/>
      <c r="BH52" s="23"/>
      <c r="BI52" s="23"/>
      <c r="BJ52" s="22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3"/>
      <c r="CI52" s="23"/>
      <c r="CJ52" s="22"/>
      <c r="CK52" s="22"/>
      <c r="CM52" s="22"/>
      <c r="CN52" s="23"/>
      <c r="CO52" s="22"/>
    </row>
    <row r="53">
      <c r="A53" s="22" t="s">
        <v>18</v>
      </c>
      <c r="B53" s="22" t="s">
        <v>33</v>
      </c>
      <c r="C53" s="22" t="s">
        <v>34</v>
      </c>
      <c r="D53" s="22" t="s">
        <v>19</v>
      </c>
      <c r="E53" s="23">
        <v>1.0</v>
      </c>
      <c r="F53" s="23">
        <v>0.54114</v>
      </c>
      <c r="G53" s="22"/>
      <c r="H53" s="26"/>
      <c r="I53" s="26"/>
      <c r="J53" s="26"/>
      <c r="K53" s="26"/>
      <c r="L53" s="23"/>
      <c r="M53" s="23"/>
      <c r="N53" s="23"/>
      <c r="O53" s="23"/>
      <c r="P53" s="26"/>
      <c r="Q53" s="26"/>
      <c r="R53" s="26"/>
      <c r="S53" s="26"/>
      <c r="T53" s="26"/>
      <c r="U53" s="26"/>
      <c r="V53" s="26"/>
      <c r="W53" s="26"/>
      <c r="X53" s="23"/>
      <c r="Y53" s="26"/>
      <c r="Z53" s="26"/>
      <c r="AA53" s="26"/>
      <c r="AB53" s="26"/>
      <c r="AC53" s="26"/>
      <c r="AD53" s="26"/>
      <c r="AE53" s="26"/>
      <c r="AF53" s="26"/>
      <c r="AG53" s="23"/>
      <c r="AH53" s="23"/>
      <c r="AI53" s="23"/>
      <c r="AJ53" s="23"/>
      <c r="AK53" s="23"/>
      <c r="AL53" s="23"/>
      <c r="AM53" s="26"/>
      <c r="AN53" s="26"/>
      <c r="AO53" s="26"/>
      <c r="AP53" s="26"/>
      <c r="AQ53" s="23"/>
      <c r="AR53" s="23"/>
      <c r="AS53" s="23"/>
      <c r="AT53" s="23"/>
      <c r="AU53" s="26"/>
      <c r="AV53" s="26"/>
      <c r="AW53" s="26"/>
      <c r="AX53" s="26"/>
      <c r="AY53" s="26"/>
      <c r="AZ53" s="26"/>
      <c r="BA53" s="26"/>
      <c r="BB53" s="26"/>
      <c r="BC53" s="22"/>
      <c r="BD53" s="23"/>
      <c r="BE53" s="23"/>
      <c r="BF53" s="22"/>
      <c r="BG53" s="22"/>
      <c r="BH53" s="23"/>
      <c r="BI53" s="23"/>
      <c r="BJ53" s="22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3"/>
      <c r="CI53" s="23"/>
      <c r="CJ53" s="22"/>
      <c r="CK53" s="22"/>
      <c r="CM53" s="22"/>
      <c r="CN53" s="23"/>
      <c r="CO53" s="22"/>
    </row>
    <row r="54">
      <c r="A54" s="22" t="s">
        <v>18</v>
      </c>
      <c r="B54" s="22" t="s">
        <v>33</v>
      </c>
      <c r="C54" s="22" t="s">
        <v>34</v>
      </c>
      <c r="D54" s="22" t="s">
        <v>19</v>
      </c>
      <c r="E54" s="23">
        <v>1.0</v>
      </c>
      <c r="F54" s="23">
        <v>0.552328</v>
      </c>
      <c r="G54" s="22"/>
      <c r="H54" s="26"/>
      <c r="I54" s="26"/>
      <c r="J54" s="26"/>
      <c r="K54" s="26"/>
      <c r="L54" s="23"/>
      <c r="M54" s="23"/>
      <c r="N54" s="23"/>
      <c r="O54" s="23"/>
      <c r="P54" s="26"/>
      <c r="Q54" s="26"/>
      <c r="R54" s="26"/>
      <c r="S54" s="26"/>
      <c r="T54" s="26"/>
      <c r="U54" s="26"/>
      <c r="V54" s="26"/>
      <c r="W54" s="26"/>
      <c r="X54" s="23"/>
      <c r="Y54" s="26"/>
      <c r="Z54" s="26"/>
      <c r="AA54" s="26"/>
      <c r="AB54" s="26"/>
      <c r="AC54" s="26"/>
      <c r="AD54" s="26"/>
      <c r="AE54" s="26"/>
      <c r="AF54" s="26"/>
      <c r="AG54" s="23"/>
      <c r="AH54" s="23"/>
      <c r="AI54" s="23"/>
      <c r="AJ54" s="23"/>
      <c r="AK54" s="23"/>
      <c r="AL54" s="23"/>
      <c r="AM54" s="26"/>
      <c r="AN54" s="26"/>
      <c r="AO54" s="26"/>
      <c r="AP54" s="26"/>
      <c r="AQ54" s="23"/>
      <c r="AR54" s="23"/>
      <c r="AS54" s="23"/>
      <c r="AT54" s="23"/>
      <c r="AU54" s="26"/>
      <c r="AV54" s="26"/>
      <c r="AW54" s="26"/>
      <c r="AX54" s="26"/>
      <c r="AY54" s="26"/>
      <c r="AZ54" s="26"/>
      <c r="BA54" s="26"/>
      <c r="BB54" s="26"/>
      <c r="BC54" s="22"/>
      <c r="BD54" s="23"/>
      <c r="BE54" s="23"/>
      <c r="BF54" s="22"/>
      <c r="BG54" s="22"/>
      <c r="BH54" s="23"/>
      <c r="BI54" s="23"/>
      <c r="BJ54" s="22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3"/>
      <c r="CI54" s="23"/>
      <c r="CJ54" s="22"/>
      <c r="CK54" s="22"/>
      <c r="CM54" s="22"/>
      <c r="CN54" s="23"/>
      <c r="CO54" s="22"/>
    </row>
    <row r="55">
      <c r="A55" s="22" t="s">
        <v>18</v>
      </c>
      <c r="B55" s="22" t="s">
        <v>33</v>
      </c>
      <c r="C55" s="22" t="s">
        <v>34</v>
      </c>
      <c r="D55" s="22" t="s">
        <v>19</v>
      </c>
      <c r="E55" s="23">
        <v>1.0</v>
      </c>
      <c r="F55" s="23">
        <v>0.608241</v>
      </c>
      <c r="G55" s="22"/>
      <c r="H55" s="26"/>
      <c r="I55" s="26"/>
      <c r="J55" s="26"/>
      <c r="K55" s="26"/>
      <c r="L55" s="23"/>
      <c r="M55" s="23"/>
      <c r="N55" s="23"/>
      <c r="O55" s="23"/>
      <c r="P55" s="26"/>
      <c r="Q55" s="26"/>
      <c r="R55" s="26"/>
      <c r="S55" s="26"/>
      <c r="T55" s="26"/>
      <c r="U55" s="26"/>
      <c r="V55" s="26"/>
      <c r="W55" s="26"/>
      <c r="X55" s="23"/>
      <c r="Y55" s="26"/>
      <c r="Z55" s="26"/>
      <c r="AA55" s="26"/>
      <c r="AB55" s="26"/>
      <c r="AC55" s="26"/>
      <c r="AD55" s="26"/>
      <c r="AE55" s="26"/>
      <c r="AF55" s="26"/>
      <c r="AG55" s="23"/>
      <c r="AH55" s="23"/>
      <c r="AI55" s="23"/>
      <c r="AJ55" s="23"/>
      <c r="AK55" s="23"/>
      <c r="AL55" s="23"/>
      <c r="AM55" s="26"/>
      <c r="AN55" s="26"/>
      <c r="AO55" s="26"/>
      <c r="AP55" s="26"/>
      <c r="AQ55" s="23"/>
      <c r="AR55" s="23"/>
      <c r="AS55" s="23"/>
      <c r="AT55" s="23"/>
      <c r="AU55" s="26"/>
      <c r="AV55" s="26"/>
      <c r="AW55" s="26"/>
      <c r="AX55" s="26"/>
      <c r="AY55" s="26"/>
      <c r="AZ55" s="26"/>
      <c r="BA55" s="26"/>
      <c r="BB55" s="26"/>
      <c r="BC55" s="22"/>
      <c r="BD55" s="23"/>
      <c r="BE55" s="23"/>
      <c r="BF55" s="22"/>
      <c r="BG55" s="22"/>
      <c r="BH55" s="23"/>
      <c r="BI55" s="23"/>
      <c r="BJ55" s="22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3"/>
      <c r="CI55" s="23"/>
      <c r="CJ55" s="22"/>
      <c r="CK55" s="22"/>
      <c r="CM55" s="22"/>
      <c r="CN55" s="23"/>
      <c r="CO55" s="22"/>
    </row>
    <row r="56">
      <c r="A56" s="22" t="s">
        <v>18</v>
      </c>
      <c r="B56" s="22" t="s">
        <v>33</v>
      </c>
      <c r="C56" s="22" t="s">
        <v>34</v>
      </c>
      <c r="D56" s="22" t="s">
        <v>19</v>
      </c>
      <c r="E56" s="23">
        <v>1.0</v>
      </c>
      <c r="F56" s="23">
        <v>0.45617</v>
      </c>
      <c r="G56" s="22"/>
      <c r="H56" s="26"/>
      <c r="I56" s="26"/>
      <c r="J56" s="26"/>
      <c r="K56" s="26"/>
      <c r="L56" s="23"/>
      <c r="M56" s="23"/>
      <c r="N56" s="23"/>
      <c r="O56" s="23"/>
      <c r="P56" s="26"/>
      <c r="Q56" s="26"/>
      <c r="R56" s="26"/>
      <c r="S56" s="26"/>
      <c r="T56" s="26"/>
      <c r="U56" s="26"/>
      <c r="V56" s="26"/>
      <c r="W56" s="26"/>
      <c r="X56" s="23"/>
      <c r="Y56" s="26"/>
      <c r="Z56" s="26"/>
      <c r="AA56" s="26"/>
      <c r="AB56" s="26"/>
      <c r="AC56" s="26"/>
      <c r="AD56" s="26"/>
      <c r="AE56" s="26"/>
      <c r="AF56" s="26"/>
      <c r="AG56" s="23"/>
      <c r="AH56" s="23"/>
      <c r="AI56" s="23"/>
      <c r="AJ56" s="23"/>
      <c r="AK56" s="23"/>
      <c r="AL56" s="23"/>
      <c r="AM56" s="26"/>
      <c r="AN56" s="26"/>
      <c r="AO56" s="26"/>
      <c r="AP56" s="26"/>
      <c r="AQ56" s="23"/>
      <c r="AR56" s="23"/>
      <c r="AS56" s="23"/>
      <c r="AT56" s="23"/>
      <c r="AU56" s="26"/>
      <c r="AV56" s="26"/>
      <c r="AW56" s="26"/>
      <c r="AX56" s="26"/>
      <c r="AY56" s="26"/>
      <c r="AZ56" s="26"/>
      <c r="BA56" s="26"/>
      <c r="BB56" s="26"/>
      <c r="BC56" s="22"/>
      <c r="BD56" s="23"/>
      <c r="BE56" s="23"/>
      <c r="BF56" s="22"/>
      <c r="BG56" s="22"/>
      <c r="BH56" s="23"/>
      <c r="BI56" s="23"/>
      <c r="BJ56" s="22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3"/>
      <c r="CI56" s="23"/>
      <c r="CJ56" s="22"/>
      <c r="CK56" s="22"/>
      <c r="CM56" s="22"/>
      <c r="CN56" s="23"/>
      <c r="CO56" s="22"/>
    </row>
    <row r="57">
      <c r="A57" s="22" t="s">
        <v>18</v>
      </c>
      <c r="B57" s="22" t="s">
        <v>33</v>
      </c>
      <c r="C57" s="22" t="s">
        <v>34</v>
      </c>
      <c r="D57" s="22" t="s">
        <v>19</v>
      </c>
      <c r="E57" s="23">
        <v>1.0</v>
      </c>
      <c r="F57" s="23">
        <v>0.454838</v>
      </c>
      <c r="G57" s="22"/>
      <c r="H57" s="26"/>
      <c r="I57" s="26"/>
      <c r="J57" s="26"/>
      <c r="K57" s="26"/>
      <c r="L57" s="23"/>
      <c r="M57" s="23"/>
      <c r="N57" s="23"/>
      <c r="O57" s="23"/>
      <c r="P57" s="26"/>
      <c r="Q57" s="26"/>
      <c r="R57" s="26"/>
      <c r="S57" s="26"/>
      <c r="T57" s="26"/>
      <c r="U57" s="26"/>
      <c r="V57" s="26"/>
      <c r="W57" s="26"/>
      <c r="X57" s="23"/>
      <c r="Y57" s="26"/>
      <c r="Z57" s="26"/>
      <c r="AA57" s="26"/>
      <c r="AB57" s="26"/>
      <c r="AC57" s="26"/>
      <c r="AD57" s="26"/>
      <c r="AE57" s="26"/>
      <c r="AF57" s="26"/>
      <c r="AG57" s="23"/>
      <c r="AH57" s="23"/>
      <c r="AI57" s="23"/>
      <c r="AJ57" s="23"/>
      <c r="AK57" s="23"/>
      <c r="AL57" s="23"/>
      <c r="AM57" s="26"/>
      <c r="AN57" s="26"/>
      <c r="AO57" s="26"/>
      <c r="AP57" s="26"/>
      <c r="AQ57" s="23"/>
      <c r="AR57" s="23"/>
      <c r="AS57" s="23"/>
      <c r="AT57" s="23"/>
      <c r="AU57" s="26"/>
      <c r="AV57" s="26"/>
      <c r="AW57" s="26"/>
      <c r="AX57" s="26"/>
      <c r="AY57" s="26"/>
      <c r="AZ57" s="26"/>
      <c r="BA57" s="26"/>
      <c r="BB57" s="26"/>
      <c r="BC57" s="22"/>
      <c r="BD57" s="23"/>
      <c r="BE57" s="23"/>
      <c r="BF57" s="22"/>
      <c r="BG57" s="22"/>
      <c r="BH57" s="23"/>
      <c r="BI57" s="23"/>
      <c r="BJ57" s="22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3"/>
      <c r="CI57" s="23"/>
      <c r="CJ57" s="22"/>
      <c r="CK57" s="22"/>
      <c r="CM57" s="22"/>
      <c r="CN57" s="23"/>
      <c r="CO57" s="22"/>
    </row>
    <row r="58">
      <c r="A58" s="22" t="s">
        <v>18</v>
      </c>
      <c r="B58" s="22" t="s">
        <v>33</v>
      </c>
      <c r="C58" s="22" t="s">
        <v>34</v>
      </c>
      <c r="D58" s="22" t="s">
        <v>19</v>
      </c>
      <c r="E58" s="23">
        <v>1.0</v>
      </c>
      <c r="F58" s="23">
        <v>0.578245</v>
      </c>
      <c r="G58" s="22"/>
      <c r="H58" s="26"/>
      <c r="I58" s="26"/>
      <c r="J58" s="26"/>
      <c r="K58" s="26"/>
      <c r="L58" s="23"/>
      <c r="M58" s="23"/>
      <c r="N58" s="23"/>
      <c r="O58" s="23"/>
      <c r="P58" s="26"/>
      <c r="Q58" s="26"/>
      <c r="R58" s="26"/>
      <c r="S58" s="26"/>
      <c r="T58" s="26"/>
      <c r="U58" s="26"/>
      <c r="V58" s="26"/>
      <c r="W58" s="26"/>
      <c r="X58" s="23"/>
      <c r="Y58" s="26"/>
      <c r="Z58" s="26"/>
      <c r="AA58" s="26"/>
      <c r="AB58" s="26"/>
      <c r="AC58" s="26"/>
      <c r="AD58" s="26"/>
      <c r="AE58" s="26"/>
      <c r="AF58" s="26"/>
      <c r="AG58" s="23"/>
      <c r="AH58" s="23"/>
      <c r="AI58" s="23"/>
      <c r="AJ58" s="23"/>
      <c r="AK58" s="23"/>
      <c r="AL58" s="23"/>
      <c r="AM58" s="26"/>
      <c r="AN58" s="26"/>
      <c r="AO58" s="26"/>
      <c r="AP58" s="26"/>
      <c r="AQ58" s="23"/>
      <c r="AR58" s="23"/>
      <c r="AS58" s="23"/>
      <c r="AT58" s="23"/>
      <c r="AU58" s="26"/>
      <c r="AV58" s="26"/>
      <c r="AW58" s="26"/>
      <c r="AX58" s="26"/>
      <c r="AY58" s="26"/>
      <c r="AZ58" s="26"/>
      <c r="BA58" s="26"/>
      <c r="BB58" s="26"/>
      <c r="BC58" s="22"/>
      <c r="BD58" s="23"/>
      <c r="BE58" s="23"/>
      <c r="BF58" s="22"/>
      <c r="BG58" s="22"/>
      <c r="BH58" s="23"/>
      <c r="BI58" s="23"/>
      <c r="BJ58" s="22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3"/>
      <c r="CI58" s="23"/>
      <c r="CJ58" s="22"/>
      <c r="CK58" s="22"/>
      <c r="CM58" s="22"/>
      <c r="CN58" s="23"/>
      <c r="CO58" s="22"/>
    </row>
    <row r="59">
      <c r="A59" s="22" t="s">
        <v>18</v>
      </c>
      <c r="B59" s="22" t="s">
        <v>33</v>
      </c>
      <c r="C59" s="22" t="s">
        <v>34</v>
      </c>
      <c r="D59" s="22" t="s">
        <v>19</v>
      </c>
      <c r="E59" s="23">
        <v>1.0</v>
      </c>
      <c r="F59" s="23">
        <v>0.888918</v>
      </c>
      <c r="G59" s="22"/>
      <c r="H59" s="26"/>
      <c r="I59" s="26"/>
      <c r="J59" s="26"/>
      <c r="K59" s="26"/>
      <c r="L59" s="23"/>
      <c r="M59" s="23"/>
      <c r="N59" s="23"/>
      <c r="O59" s="23"/>
      <c r="P59" s="26"/>
      <c r="Q59" s="26"/>
      <c r="R59" s="26"/>
      <c r="S59" s="26"/>
      <c r="T59" s="26"/>
      <c r="U59" s="26"/>
      <c r="V59" s="26"/>
      <c r="W59" s="26"/>
      <c r="X59" s="23"/>
      <c r="Y59" s="26"/>
      <c r="Z59" s="26"/>
      <c r="AA59" s="26"/>
      <c r="AB59" s="26"/>
      <c r="AC59" s="26"/>
      <c r="AD59" s="26"/>
      <c r="AE59" s="26"/>
      <c r="AF59" s="26"/>
      <c r="AG59" s="23"/>
      <c r="AH59" s="23"/>
      <c r="AI59" s="23"/>
      <c r="AJ59" s="23"/>
      <c r="AK59" s="23"/>
      <c r="AL59" s="23"/>
      <c r="AM59" s="26"/>
      <c r="AN59" s="26"/>
      <c r="AO59" s="26"/>
      <c r="AP59" s="26"/>
      <c r="AQ59" s="23"/>
      <c r="AR59" s="23"/>
      <c r="AS59" s="23"/>
      <c r="AT59" s="23"/>
      <c r="AU59" s="26"/>
      <c r="AV59" s="26"/>
      <c r="AW59" s="26"/>
      <c r="AX59" s="26"/>
      <c r="AY59" s="26"/>
      <c r="AZ59" s="26"/>
      <c r="BA59" s="26"/>
      <c r="BB59" s="26"/>
      <c r="BC59" s="22"/>
      <c r="BD59" s="23"/>
      <c r="BE59" s="23"/>
      <c r="BF59" s="22"/>
      <c r="BG59" s="22"/>
      <c r="BH59" s="23"/>
      <c r="BI59" s="23"/>
      <c r="BJ59" s="22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3"/>
      <c r="CI59" s="23"/>
      <c r="CJ59" s="22"/>
      <c r="CK59" s="22"/>
      <c r="CM59" s="22"/>
      <c r="CN59" s="23"/>
      <c r="CO59" s="22"/>
    </row>
    <row r="60">
      <c r="A60" s="22" t="s">
        <v>18</v>
      </c>
      <c r="B60" s="22" t="s">
        <v>33</v>
      </c>
      <c r="C60" s="22" t="s">
        <v>34</v>
      </c>
      <c r="D60" s="22" t="s">
        <v>19</v>
      </c>
      <c r="E60" s="23">
        <v>1.0</v>
      </c>
      <c r="F60" s="23">
        <v>0.590039</v>
      </c>
      <c r="G60" s="22"/>
      <c r="H60" s="26"/>
      <c r="I60" s="26"/>
      <c r="J60" s="26"/>
      <c r="K60" s="26"/>
      <c r="L60" s="23"/>
      <c r="M60" s="23"/>
      <c r="N60" s="23"/>
      <c r="O60" s="23"/>
      <c r="P60" s="26"/>
      <c r="Q60" s="26"/>
      <c r="R60" s="26"/>
      <c r="S60" s="26"/>
      <c r="T60" s="26"/>
      <c r="U60" s="26"/>
      <c r="V60" s="26"/>
      <c r="W60" s="26"/>
      <c r="X60" s="23"/>
      <c r="Y60" s="26"/>
      <c r="Z60" s="26"/>
      <c r="AA60" s="26"/>
      <c r="AB60" s="26"/>
      <c r="AC60" s="26"/>
      <c r="AD60" s="26"/>
      <c r="AE60" s="26"/>
      <c r="AF60" s="26"/>
      <c r="AG60" s="23"/>
      <c r="AH60" s="23"/>
      <c r="AI60" s="23"/>
      <c r="AJ60" s="23"/>
      <c r="AK60" s="23"/>
      <c r="AL60" s="23"/>
      <c r="AM60" s="26"/>
      <c r="AN60" s="26"/>
      <c r="AO60" s="26"/>
      <c r="AP60" s="26"/>
      <c r="AQ60" s="23"/>
      <c r="AR60" s="23"/>
      <c r="AS60" s="23"/>
      <c r="AT60" s="23"/>
      <c r="AU60" s="26"/>
      <c r="AV60" s="26"/>
      <c r="AW60" s="26"/>
      <c r="AX60" s="26"/>
      <c r="AY60" s="26"/>
      <c r="AZ60" s="26"/>
      <c r="BA60" s="26"/>
      <c r="BB60" s="26"/>
      <c r="BC60" s="22"/>
      <c r="BD60" s="23"/>
      <c r="BE60" s="23"/>
      <c r="BF60" s="22"/>
      <c r="BG60" s="22"/>
      <c r="BH60" s="23"/>
      <c r="BI60" s="23"/>
      <c r="BJ60" s="22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3"/>
      <c r="CI60" s="23"/>
      <c r="CJ60" s="22"/>
      <c r="CK60" s="22"/>
      <c r="CM60" s="22"/>
      <c r="CN60" s="23"/>
      <c r="CO60" s="22"/>
    </row>
    <row r="61">
      <c r="A61" s="22" t="s">
        <v>33</v>
      </c>
      <c r="B61" s="22" t="s">
        <v>18</v>
      </c>
      <c r="C61" s="22" t="s">
        <v>34</v>
      </c>
      <c r="D61" s="22" t="s">
        <v>19</v>
      </c>
      <c r="E61" s="23">
        <v>1.0</v>
      </c>
      <c r="F61" s="23">
        <v>0.511578</v>
      </c>
      <c r="G61" s="22"/>
      <c r="H61" s="26"/>
      <c r="I61" s="26"/>
      <c r="J61" s="26"/>
      <c r="K61" s="26"/>
      <c r="L61" s="23"/>
      <c r="M61" s="23"/>
      <c r="N61" s="23"/>
      <c r="O61" s="23"/>
      <c r="P61" s="26"/>
      <c r="Q61" s="26"/>
      <c r="R61" s="26"/>
      <c r="S61" s="26"/>
      <c r="T61" s="26"/>
      <c r="U61" s="26"/>
      <c r="V61" s="26"/>
      <c r="W61" s="26"/>
      <c r="X61" s="23"/>
      <c r="Y61" s="26"/>
      <c r="Z61" s="26"/>
      <c r="AA61" s="26"/>
      <c r="AB61" s="26"/>
      <c r="AC61" s="26"/>
      <c r="AD61" s="26"/>
      <c r="AE61" s="26"/>
      <c r="AF61" s="26"/>
      <c r="AG61" s="23"/>
      <c r="AH61" s="23"/>
      <c r="AI61" s="23"/>
      <c r="AJ61" s="23"/>
      <c r="AK61" s="23"/>
      <c r="AL61" s="23"/>
      <c r="AM61" s="26"/>
      <c r="AN61" s="26"/>
      <c r="AO61" s="26"/>
      <c r="AP61" s="26"/>
      <c r="AQ61" s="23"/>
      <c r="AR61" s="23"/>
      <c r="AS61" s="23"/>
      <c r="AT61" s="23"/>
      <c r="AU61" s="26"/>
      <c r="AV61" s="26"/>
      <c r="AW61" s="26"/>
      <c r="AX61" s="26"/>
      <c r="AY61" s="26"/>
      <c r="AZ61" s="26"/>
      <c r="BA61" s="26"/>
      <c r="BB61" s="26"/>
      <c r="BC61" s="22"/>
      <c r="BD61" s="23"/>
      <c r="BE61" s="23"/>
      <c r="BF61" s="22"/>
      <c r="BG61" s="22"/>
      <c r="BH61" s="23"/>
      <c r="BI61" s="23"/>
      <c r="BJ61" s="22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3"/>
      <c r="CI61" s="23"/>
      <c r="CJ61" s="22"/>
      <c r="CK61" s="22"/>
      <c r="CM61" s="22"/>
      <c r="CN61" s="23"/>
      <c r="CO61" s="22"/>
    </row>
    <row r="62">
      <c r="A62" s="22" t="s">
        <v>33</v>
      </c>
      <c r="B62" s="22" t="s">
        <v>18</v>
      </c>
      <c r="C62" s="22" t="s">
        <v>34</v>
      </c>
      <c r="D62" s="22" t="s">
        <v>19</v>
      </c>
      <c r="E62" s="23">
        <v>1.0</v>
      </c>
      <c r="F62" s="23">
        <v>1.118723</v>
      </c>
      <c r="G62" s="22"/>
      <c r="H62" s="26"/>
      <c r="I62" s="26"/>
      <c r="J62" s="26"/>
      <c r="K62" s="26"/>
      <c r="L62" s="23"/>
      <c r="M62" s="23"/>
      <c r="N62" s="23"/>
      <c r="O62" s="23"/>
      <c r="P62" s="26"/>
      <c r="Q62" s="26"/>
      <c r="R62" s="26"/>
      <c r="S62" s="26"/>
      <c r="T62" s="26"/>
      <c r="U62" s="26"/>
      <c r="V62" s="26"/>
      <c r="W62" s="26"/>
      <c r="X62" s="23"/>
      <c r="Y62" s="26"/>
      <c r="Z62" s="26"/>
      <c r="AA62" s="26"/>
      <c r="AB62" s="26"/>
      <c r="AC62" s="26"/>
      <c r="AD62" s="26"/>
      <c r="AE62" s="26"/>
      <c r="AF62" s="26"/>
      <c r="AG62" s="23"/>
      <c r="AH62" s="23"/>
      <c r="AI62" s="23"/>
      <c r="AJ62" s="23"/>
      <c r="AK62" s="23"/>
      <c r="AL62" s="23"/>
      <c r="AM62" s="26"/>
      <c r="AN62" s="26"/>
      <c r="AO62" s="26"/>
      <c r="AP62" s="26"/>
      <c r="AQ62" s="23"/>
      <c r="AR62" s="23"/>
      <c r="AS62" s="23"/>
      <c r="AT62" s="23"/>
      <c r="AU62" s="26"/>
      <c r="AV62" s="26"/>
      <c r="AW62" s="26"/>
      <c r="AX62" s="26"/>
      <c r="AY62" s="26"/>
      <c r="AZ62" s="26"/>
      <c r="BA62" s="26"/>
      <c r="BB62" s="26"/>
      <c r="BC62" s="22"/>
      <c r="BD62" s="23"/>
      <c r="BE62" s="23"/>
      <c r="BF62" s="22"/>
      <c r="BG62" s="22"/>
      <c r="BH62" s="23"/>
      <c r="BI62" s="23"/>
      <c r="BJ62" s="22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3"/>
      <c r="CI62" s="23"/>
      <c r="CJ62" s="22"/>
      <c r="CK62" s="22"/>
      <c r="CM62" s="22"/>
      <c r="CN62" s="23"/>
      <c r="CO62" s="22"/>
    </row>
    <row r="63">
      <c r="A63" s="22" t="s">
        <v>33</v>
      </c>
      <c r="B63" s="22" t="s">
        <v>18</v>
      </c>
      <c r="C63" s="22" t="s">
        <v>34</v>
      </c>
      <c r="D63" s="22" t="s">
        <v>19</v>
      </c>
      <c r="E63" s="23">
        <v>1.0</v>
      </c>
      <c r="F63" s="23">
        <v>0.595033</v>
      </c>
      <c r="G63" s="22"/>
      <c r="H63" s="26"/>
      <c r="I63" s="26"/>
      <c r="J63" s="26"/>
      <c r="K63" s="26"/>
      <c r="L63" s="23"/>
      <c r="M63" s="23"/>
      <c r="N63" s="23"/>
      <c r="O63" s="23"/>
      <c r="P63" s="26"/>
      <c r="Q63" s="26"/>
      <c r="R63" s="26"/>
      <c r="S63" s="26"/>
      <c r="T63" s="26"/>
      <c r="U63" s="26"/>
      <c r="V63" s="26"/>
      <c r="W63" s="26"/>
      <c r="X63" s="23"/>
      <c r="Y63" s="26"/>
      <c r="Z63" s="26"/>
      <c r="AA63" s="26"/>
      <c r="AB63" s="26"/>
      <c r="AC63" s="26"/>
      <c r="AD63" s="26"/>
      <c r="AE63" s="26"/>
      <c r="AF63" s="26"/>
      <c r="AG63" s="23"/>
      <c r="AH63" s="23"/>
      <c r="AI63" s="23"/>
      <c r="AJ63" s="23"/>
      <c r="AK63" s="23"/>
      <c r="AL63" s="23"/>
      <c r="AM63" s="26"/>
      <c r="AN63" s="26"/>
      <c r="AO63" s="26"/>
      <c r="AP63" s="26"/>
      <c r="AQ63" s="23"/>
      <c r="AR63" s="23"/>
      <c r="AS63" s="23"/>
      <c r="AT63" s="23"/>
      <c r="AU63" s="26"/>
      <c r="AV63" s="26"/>
      <c r="AW63" s="26"/>
      <c r="AX63" s="26"/>
      <c r="AY63" s="26"/>
      <c r="AZ63" s="26"/>
      <c r="BA63" s="26"/>
      <c r="BB63" s="26"/>
      <c r="BC63" s="22"/>
      <c r="BD63" s="23"/>
      <c r="BE63" s="23"/>
      <c r="BF63" s="22"/>
      <c r="BG63" s="22"/>
      <c r="BH63" s="23"/>
      <c r="BI63" s="23"/>
      <c r="BJ63" s="22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3"/>
      <c r="CI63" s="23"/>
      <c r="CJ63" s="22"/>
      <c r="CK63" s="22"/>
      <c r="CM63" s="22"/>
      <c r="CN63" s="23"/>
      <c r="CO63" s="22"/>
    </row>
    <row r="64">
      <c r="A64" s="22" t="s">
        <v>33</v>
      </c>
      <c r="B64" s="22" t="s">
        <v>18</v>
      </c>
      <c r="C64" s="22" t="s">
        <v>34</v>
      </c>
      <c r="D64" s="22" t="s">
        <v>19</v>
      </c>
      <c r="E64" s="23">
        <v>1.0</v>
      </c>
      <c r="F64" s="23">
        <v>0.433712</v>
      </c>
      <c r="G64" s="22"/>
      <c r="H64" s="26"/>
      <c r="I64" s="26"/>
      <c r="J64" s="26"/>
      <c r="K64" s="26"/>
      <c r="L64" s="23"/>
      <c r="M64" s="23"/>
      <c r="N64" s="23"/>
      <c r="O64" s="23"/>
      <c r="P64" s="26"/>
      <c r="Q64" s="26"/>
      <c r="R64" s="26"/>
      <c r="S64" s="26"/>
      <c r="T64" s="26"/>
      <c r="U64" s="26"/>
      <c r="V64" s="26"/>
      <c r="W64" s="26"/>
      <c r="X64" s="23"/>
      <c r="Y64" s="26"/>
      <c r="Z64" s="26"/>
      <c r="AA64" s="26"/>
      <c r="AB64" s="26"/>
      <c r="AC64" s="26"/>
      <c r="AD64" s="26"/>
      <c r="AE64" s="26"/>
      <c r="AF64" s="26"/>
      <c r="AG64" s="23"/>
      <c r="AH64" s="23"/>
      <c r="AI64" s="23"/>
      <c r="AJ64" s="23"/>
      <c r="AK64" s="23"/>
      <c r="AL64" s="23"/>
      <c r="AM64" s="26"/>
      <c r="AN64" s="26"/>
      <c r="AO64" s="26"/>
      <c r="AP64" s="26"/>
      <c r="AQ64" s="23"/>
      <c r="AR64" s="23"/>
      <c r="AS64" s="23"/>
      <c r="AT64" s="23"/>
      <c r="AU64" s="26"/>
      <c r="AV64" s="26"/>
      <c r="AW64" s="26"/>
      <c r="AX64" s="26"/>
      <c r="AY64" s="26"/>
      <c r="AZ64" s="26"/>
      <c r="BA64" s="26"/>
      <c r="BB64" s="26"/>
      <c r="BC64" s="22"/>
      <c r="BD64" s="23"/>
      <c r="BE64" s="23"/>
      <c r="BF64" s="22"/>
      <c r="BG64" s="22"/>
      <c r="BH64" s="23"/>
      <c r="BI64" s="23"/>
      <c r="BJ64" s="22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3"/>
      <c r="CI64" s="23"/>
      <c r="CJ64" s="22"/>
      <c r="CK64" s="22"/>
      <c r="CM64" s="22"/>
      <c r="CN64" s="23"/>
      <c r="CO64" s="22"/>
    </row>
    <row r="65">
      <c r="A65" s="22" t="s">
        <v>33</v>
      </c>
      <c r="B65" s="22" t="s">
        <v>18</v>
      </c>
      <c r="C65" s="22" t="s">
        <v>34</v>
      </c>
      <c r="D65" s="22" t="s">
        <v>19</v>
      </c>
      <c r="E65" s="23">
        <v>1.0</v>
      </c>
      <c r="F65" s="23">
        <v>0.504535</v>
      </c>
      <c r="G65" s="22"/>
      <c r="H65" s="26"/>
      <c r="I65" s="26"/>
      <c r="J65" s="26"/>
      <c r="K65" s="26"/>
      <c r="L65" s="23"/>
      <c r="M65" s="23"/>
      <c r="N65" s="23"/>
      <c r="O65" s="23"/>
      <c r="P65" s="26"/>
      <c r="Q65" s="26"/>
      <c r="R65" s="26"/>
      <c r="S65" s="26"/>
      <c r="T65" s="26"/>
      <c r="U65" s="26"/>
      <c r="V65" s="26"/>
      <c r="W65" s="26"/>
      <c r="X65" s="23"/>
      <c r="Y65" s="26"/>
      <c r="Z65" s="26"/>
      <c r="AA65" s="26"/>
      <c r="AB65" s="26"/>
      <c r="AC65" s="26"/>
      <c r="AD65" s="26"/>
      <c r="AE65" s="26"/>
      <c r="AF65" s="26"/>
      <c r="AG65" s="23"/>
      <c r="AH65" s="23"/>
      <c r="AI65" s="23"/>
      <c r="AJ65" s="23"/>
      <c r="AK65" s="23"/>
      <c r="AL65" s="23"/>
      <c r="AM65" s="26"/>
      <c r="AN65" s="26"/>
      <c r="AO65" s="26"/>
      <c r="AP65" s="26"/>
      <c r="AQ65" s="23"/>
      <c r="AR65" s="23"/>
      <c r="AS65" s="23"/>
      <c r="AT65" s="23"/>
      <c r="AU65" s="26"/>
      <c r="AV65" s="26"/>
      <c r="AW65" s="26"/>
      <c r="AX65" s="26"/>
      <c r="AY65" s="26"/>
      <c r="AZ65" s="26"/>
      <c r="BA65" s="26"/>
      <c r="BB65" s="26"/>
      <c r="BC65" s="22"/>
      <c r="BD65" s="23"/>
      <c r="BE65" s="23"/>
      <c r="BF65" s="22"/>
      <c r="BG65" s="22"/>
      <c r="BH65" s="23"/>
      <c r="BI65" s="23"/>
      <c r="BJ65" s="22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3"/>
      <c r="CI65" s="23"/>
      <c r="CJ65" s="22"/>
      <c r="CK65" s="22"/>
      <c r="CM65" s="22"/>
      <c r="CN65" s="23"/>
      <c r="CO65" s="22"/>
    </row>
    <row r="66">
      <c r="A66" s="22" t="s">
        <v>33</v>
      </c>
      <c r="B66" s="22" t="s">
        <v>18</v>
      </c>
      <c r="C66" s="22" t="s">
        <v>34</v>
      </c>
      <c r="D66" s="22" t="s">
        <v>19</v>
      </c>
      <c r="E66" s="23">
        <v>1.0</v>
      </c>
      <c r="F66" s="23">
        <v>0.820787</v>
      </c>
      <c r="G66" s="22"/>
      <c r="H66" s="26"/>
      <c r="I66" s="26"/>
      <c r="J66" s="26"/>
      <c r="K66" s="26"/>
      <c r="L66" s="23"/>
      <c r="M66" s="23"/>
      <c r="N66" s="23"/>
      <c r="O66" s="23"/>
      <c r="P66" s="26"/>
      <c r="Q66" s="26"/>
      <c r="R66" s="26"/>
      <c r="S66" s="26"/>
      <c r="T66" s="26"/>
      <c r="U66" s="26"/>
      <c r="V66" s="26"/>
      <c r="W66" s="26"/>
      <c r="X66" s="23"/>
      <c r="Y66" s="26"/>
      <c r="Z66" s="26"/>
      <c r="AA66" s="26"/>
      <c r="AB66" s="26"/>
      <c r="AC66" s="26"/>
      <c r="AD66" s="26"/>
      <c r="AE66" s="26"/>
      <c r="AF66" s="26"/>
      <c r="AG66" s="23"/>
      <c r="AH66" s="23"/>
      <c r="AI66" s="23"/>
      <c r="AJ66" s="23"/>
      <c r="AK66" s="23"/>
      <c r="AL66" s="23"/>
      <c r="AM66" s="26"/>
      <c r="AN66" s="26"/>
      <c r="AO66" s="26"/>
      <c r="AP66" s="26"/>
      <c r="AQ66" s="23"/>
      <c r="AR66" s="23"/>
      <c r="AS66" s="23"/>
      <c r="AT66" s="23"/>
      <c r="AU66" s="26"/>
      <c r="AV66" s="26"/>
      <c r="AW66" s="26"/>
      <c r="AX66" s="26"/>
      <c r="AY66" s="26"/>
      <c r="AZ66" s="26"/>
      <c r="BA66" s="26"/>
      <c r="BB66" s="26"/>
      <c r="BC66" s="22"/>
      <c r="BD66" s="23"/>
      <c r="BE66" s="23"/>
      <c r="BF66" s="22"/>
      <c r="BG66" s="22"/>
      <c r="BH66" s="23"/>
      <c r="BI66" s="23"/>
      <c r="BJ66" s="22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3"/>
      <c r="CI66" s="23"/>
      <c r="CJ66" s="22"/>
      <c r="CK66" s="22"/>
      <c r="CM66" s="22"/>
      <c r="CN66" s="23"/>
      <c r="CO66" s="22"/>
    </row>
    <row r="67">
      <c r="A67" s="22" t="s">
        <v>33</v>
      </c>
      <c r="B67" s="22" t="s">
        <v>18</v>
      </c>
      <c r="C67" s="22" t="s">
        <v>34</v>
      </c>
      <c r="D67" s="22" t="s">
        <v>19</v>
      </c>
      <c r="E67" s="23">
        <v>1.0</v>
      </c>
      <c r="F67" s="23">
        <v>0.732153</v>
      </c>
      <c r="G67" s="22"/>
      <c r="H67" s="26"/>
      <c r="I67" s="26"/>
      <c r="J67" s="26"/>
      <c r="K67" s="26"/>
      <c r="L67" s="23"/>
      <c r="M67" s="23"/>
      <c r="N67" s="23"/>
      <c r="O67" s="23"/>
      <c r="P67" s="26"/>
      <c r="Q67" s="26"/>
      <c r="R67" s="26"/>
      <c r="S67" s="26"/>
      <c r="T67" s="26"/>
      <c r="U67" s="26"/>
      <c r="V67" s="26"/>
      <c r="W67" s="26"/>
      <c r="X67" s="23"/>
      <c r="Y67" s="26"/>
      <c r="Z67" s="26"/>
      <c r="AA67" s="26"/>
      <c r="AB67" s="26"/>
      <c r="AC67" s="26"/>
      <c r="AD67" s="26"/>
      <c r="AE67" s="26"/>
      <c r="AF67" s="26"/>
      <c r="AG67" s="23"/>
      <c r="AH67" s="23"/>
      <c r="AI67" s="23"/>
      <c r="AJ67" s="23"/>
      <c r="AK67" s="23"/>
      <c r="AL67" s="23"/>
      <c r="AM67" s="26"/>
      <c r="AN67" s="26"/>
      <c r="AO67" s="26"/>
      <c r="AP67" s="26"/>
      <c r="AQ67" s="23"/>
      <c r="AR67" s="23"/>
      <c r="AS67" s="23"/>
      <c r="AT67" s="23"/>
      <c r="AU67" s="26"/>
      <c r="AV67" s="26"/>
      <c r="AW67" s="26"/>
      <c r="AX67" s="26"/>
      <c r="AY67" s="26"/>
      <c r="AZ67" s="26"/>
      <c r="BA67" s="26"/>
      <c r="BB67" s="26"/>
      <c r="BC67" s="22"/>
      <c r="BD67" s="23"/>
      <c r="BE67" s="23"/>
      <c r="BF67" s="22"/>
      <c r="BG67" s="22"/>
      <c r="BH67" s="23"/>
      <c r="BI67" s="23"/>
      <c r="BJ67" s="22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3"/>
      <c r="CI67" s="23"/>
      <c r="CJ67" s="22"/>
      <c r="CK67" s="22"/>
      <c r="CM67" s="22"/>
      <c r="CN67" s="23"/>
      <c r="CO67" s="22"/>
    </row>
    <row r="68">
      <c r="A68" s="22" t="s">
        <v>33</v>
      </c>
      <c r="B68" s="22" t="s">
        <v>18</v>
      </c>
      <c r="C68" s="22" t="s">
        <v>34</v>
      </c>
      <c r="D68" s="22" t="s">
        <v>19</v>
      </c>
      <c r="E68" s="23">
        <v>1.0</v>
      </c>
      <c r="F68" s="23">
        <v>0.52173</v>
      </c>
      <c r="G68" s="22"/>
      <c r="H68" s="26"/>
      <c r="I68" s="26"/>
      <c r="J68" s="26"/>
      <c r="K68" s="26"/>
      <c r="L68" s="23"/>
      <c r="M68" s="23"/>
      <c r="N68" s="23"/>
      <c r="O68" s="23"/>
      <c r="P68" s="26"/>
      <c r="Q68" s="26"/>
      <c r="R68" s="26"/>
      <c r="S68" s="26"/>
      <c r="T68" s="26"/>
      <c r="U68" s="26"/>
      <c r="V68" s="26"/>
      <c r="W68" s="26"/>
      <c r="X68" s="23"/>
      <c r="Y68" s="26"/>
      <c r="Z68" s="26"/>
      <c r="AA68" s="26"/>
      <c r="AB68" s="26"/>
      <c r="AC68" s="26"/>
      <c r="AD68" s="26"/>
      <c r="AE68" s="26"/>
      <c r="AF68" s="26"/>
      <c r="AG68" s="23"/>
      <c r="AH68" s="23"/>
      <c r="AI68" s="23"/>
      <c r="AJ68" s="23"/>
      <c r="AK68" s="23"/>
      <c r="AL68" s="23"/>
      <c r="AM68" s="26"/>
      <c r="AN68" s="26"/>
      <c r="AO68" s="26"/>
      <c r="AP68" s="26"/>
      <c r="AQ68" s="23"/>
      <c r="AR68" s="23"/>
      <c r="AS68" s="23"/>
      <c r="AT68" s="23"/>
      <c r="AU68" s="26"/>
      <c r="AV68" s="26"/>
      <c r="AW68" s="26"/>
      <c r="AX68" s="26"/>
      <c r="AY68" s="26"/>
      <c r="AZ68" s="26"/>
      <c r="BA68" s="26"/>
      <c r="BB68" s="26"/>
      <c r="BC68" s="22"/>
      <c r="BD68" s="23"/>
      <c r="BE68" s="23"/>
      <c r="BF68" s="22"/>
      <c r="BG68" s="22"/>
      <c r="BH68" s="23"/>
      <c r="BI68" s="23"/>
      <c r="BJ68" s="22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3"/>
      <c r="CI68" s="23"/>
      <c r="CJ68" s="22"/>
      <c r="CK68" s="22"/>
      <c r="CM68" s="22"/>
      <c r="CN68" s="23"/>
      <c r="CO68" s="22"/>
    </row>
    <row r="69">
      <c r="A69" s="22" t="s">
        <v>33</v>
      </c>
      <c r="B69" s="22" t="s">
        <v>18</v>
      </c>
      <c r="C69" s="22" t="s">
        <v>34</v>
      </c>
      <c r="D69" s="22" t="s">
        <v>19</v>
      </c>
      <c r="E69" s="23">
        <v>1.0</v>
      </c>
      <c r="F69" s="23">
        <v>0.689927</v>
      </c>
      <c r="G69" s="22"/>
      <c r="H69" s="26"/>
      <c r="I69" s="26"/>
      <c r="J69" s="26"/>
      <c r="K69" s="26"/>
      <c r="L69" s="23"/>
      <c r="M69" s="23"/>
      <c r="N69" s="23"/>
      <c r="O69" s="23"/>
      <c r="P69" s="26"/>
      <c r="Q69" s="26"/>
      <c r="R69" s="26"/>
      <c r="S69" s="26"/>
      <c r="T69" s="26"/>
      <c r="U69" s="26"/>
      <c r="V69" s="26"/>
      <c r="W69" s="26"/>
      <c r="X69" s="23"/>
      <c r="Y69" s="26"/>
      <c r="Z69" s="26"/>
      <c r="AA69" s="26"/>
      <c r="AB69" s="26"/>
      <c r="AC69" s="26"/>
      <c r="AD69" s="26"/>
      <c r="AE69" s="26"/>
      <c r="AF69" s="26"/>
      <c r="AG69" s="23"/>
      <c r="AH69" s="23"/>
      <c r="AI69" s="23"/>
      <c r="AJ69" s="23"/>
      <c r="AK69" s="23"/>
      <c r="AL69" s="23"/>
      <c r="AM69" s="26"/>
      <c r="AN69" s="26"/>
      <c r="AO69" s="26"/>
      <c r="AP69" s="26"/>
      <c r="AQ69" s="23"/>
      <c r="AR69" s="23"/>
      <c r="AS69" s="23"/>
      <c r="AT69" s="23"/>
      <c r="AU69" s="26"/>
      <c r="AV69" s="26"/>
      <c r="AW69" s="26"/>
      <c r="AX69" s="26"/>
      <c r="AY69" s="26"/>
      <c r="AZ69" s="26"/>
      <c r="BA69" s="26"/>
      <c r="BB69" s="26"/>
      <c r="BC69" s="22"/>
      <c r="BD69" s="23"/>
      <c r="BE69" s="23"/>
      <c r="BF69" s="22"/>
      <c r="BG69" s="22"/>
      <c r="BH69" s="23"/>
      <c r="BI69" s="23"/>
      <c r="BJ69" s="22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3"/>
      <c r="CI69" s="23"/>
      <c r="CJ69" s="22"/>
      <c r="CK69" s="22"/>
      <c r="CM69" s="22"/>
      <c r="CN69" s="23"/>
      <c r="CO69" s="22"/>
    </row>
    <row r="70">
      <c r="A70" s="22" t="s">
        <v>33</v>
      </c>
      <c r="B70" s="22" t="s">
        <v>18</v>
      </c>
      <c r="C70" s="22" t="s">
        <v>34</v>
      </c>
      <c r="D70" s="22" t="s">
        <v>19</v>
      </c>
      <c r="E70" s="23">
        <v>1.0</v>
      </c>
      <c r="F70" s="23">
        <v>0.510524</v>
      </c>
      <c r="G70" s="22"/>
      <c r="H70" s="26"/>
      <c r="I70" s="26"/>
      <c r="J70" s="26"/>
      <c r="K70" s="26"/>
      <c r="L70" s="23"/>
      <c r="M70" s="23"/>
      <c r="N70" s="23"/>
      <c r="O70" s="23"/>
      <c r="P70" s="26"/>
      <c r="Q70" s="26"/>
      <c r="R70" s="26"/>
      <c r="S70" s="26"/>
      <c r="T70" s="26"/>
      <c r="U70" s="26"/>
      <c r="V70" s="26"/>
      <c r="W70" s="26"/>
      <c r="X70" s="23"/>
      <c r="Y70" s="26"/>
      <c r="Z70" s="26"/>
      <c r="AA70" s="26"/>
      <c r="AB70" s="26"/>
      <c r="AC70" s="26"/>
      <c r="AD70" s="26"/>
      <c r="AE70" s="26"/>
      <c r="AF70" s="26"/>
      <c r="AG70" s="23"/>
      <c r="AH70" s="23"/>
      <c r="AI70" s="23"/>
      <c r="AJ70" s="23"/>
      <c r="AK70" s="23"/>
      <c r="AL70" s="23"/>
      <c r="AM70" s="26"/>
      <c r="AN70" s="26"/>
      <c r="AO70" s="26"/>
      <c r="AP70" s="26"/>
      <c r="AQ70" s="23"/>
      <c r="AR70" s="23"/>
      <c r="AS70" s="23"/>
      <c r="AT70" s="23"/>
      <c r="AU70" s="26"/>
      <c r="AV70" s="26"/>
      <c r="AW70" s="26"/>
      <c r="AX70" s="26"/>
      <c r="AY70" s="26"/>
      <c r="AZ70" s="26"/>
      <c r="BA70" s="26"/>
      <c r="BB70" s="26"/>
      <c r="BC70" s="22"/>
      <c r="BD70" s="23"/>
      <c r="BE70" s="23"/>
      <c r="BF70" s="22"/>
      <c r="BG70" s="22"/>
      <c r="BH70" s="23"/>
      <c r="BI70" s="23"/>
      <c r="BJ70" s="22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3"/>
      <c r="CI70" s="23"/>
      <c r="CJ70" s="22"/>
      <c r="CK70" s="22"/>
      <c r="CM70" s="22"/>
      <c r="CN70" s="23"/>
      <c r="CO70" s="22"/>
    </row>
    <row r="71">
      <c r="A71" s="22" t="s">
        <v>33</v>
      </c>
      <c r="B71" s="22" t="s">
        <v>18</v>
      </c>
      <c r="C71" s="22" t="s">
        <v>34</v>
      </c>
      <c r="D71" s="22" t="s">
        <v>19</v>
      </c>
      <c r="E71" s="23">
        <v>1.0</v>
      </c>
      <c r="F71" s="23">
        <v>1.382435</v>
      </c>
      <c r="G71" s="22"/>
      <c r="H71" s="26"/>
      <c r="I71" s="26"/>
      <c r="J71" s="26"/>
      <c r="K71" s="26"/>
      <c r="L71" s="23"/>
      <c r="M71" s="23"/>
      <c r="N71" s="23"/>
      <c r="O71" s="23"/>
      <c r="P71" s="26"/>
      <c r="Q71" s="26"/>
      <c r="R71" s="26"/>
      <c r="S71" s="26"/>
      <c r="T71" s="26"/>
      <c r="U71" s="26"/>
      <c r="V71" s="26"/>
      <c r="W71" s="26"/>
      <c r="X71" s="23"/>
      <c r="Y71" s="26"/>
      <c r="Z71" s="26"/>
      <c r="AA71" s="26"/>
      <c r="AB71" s="26"/>
      <c r="AC71" s="26"/>
      <c r="AD71" s="26"/>
      <c r="AE71" s="26"/>
      <c r="AF71" s="26"/>
      <c r="AG71" s="23"/>
      <c r="AH71" s="23"/>
      <c r="AI71" s="23"/>
      <c r="AJ71" s="23"/>
      <c r="AK71" s="23"/>
      <c r="AL71" s="23"/>
      <c r="AM71" s="26"/>
      <c r="AN71" s="26"/>
      <c r="AO71" s="26"/>
      <c r="AP71" s="26"/>
      <c r="AQ71" s="23"/>
      <c r="AR71" s="23"/>
      <c r="AS71" s="23"/>
      <c r="AT71" s="23"/>
      <c r="AU71" s="26"/>
      <c r="AV71" s="26"/>
      <c r="AW71" s="26"/>
      <c r="AX71" s="26"/>
      <c r="AY71" s="26"/>
      <c r="AZ71" s="26"/>
      <c r="BA71" s="26"/>
      <c r="BB71" s="26"/>
      <c r="BC71" s="22"/>
      <c r="BD71" s="23"/>
      <c r="BE71" s="23"/>
      <c r="BF71" s="22"/>
      <c r="BG71" s="22"/>
      <c r="BH71" s="23"/>
      <c r="BI71" s="23"/>
      <c r="BJ71" s="22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3"/>
      <c r="CI71" s="23"/>
      <c r="CJ71" s="22"/>
      <c r="CK71" s="22"/>
      <c r="CM71" s="22"/>
      <c r="CN71" s="23"/>
      <c r="CO71" s="22"/>
    </row>
    <row r="72">
      <c r="A72" s="22" t="s">
        <v>33</v>
      </c>
      <c r="B72" s="22" t="s">
        <v>18</v>
      </c>
      <c r="C72" s="22" t="s">
        <v>34</v>
      </c>
      <c r="D72" s="22" t="s">
        <v>19</v>
      </c>
      <c r="E72" s="23">
        <v>1.0</v>
      </c>
      <c r="F72" s="23">
        <v>0.752901</v>
      </c>
      <c r="G72" s="22"/>
      <c r="H72" s="26"/>
      <c r="I72" s="26"/>
      <c r="J72" s="26"/>
      <c r="K72" s="26"/>
      <c r="L72" s="23"/>
      <c r="M72" s="23"/>
      <c r="N72" s="23"/>
      <c r="O72" s="23"/>
      <c r="P72" s="26"/>
      <c r="Q72" s="26"/>
      <c r="R72" s="26"/>
      <c r="S72" s="26"/>
      <c r="T72" s="26"/>
      <c r="U72" s="26"/>
      <c r="V72" s="26"/>
      <c r="W72" s="26"/>
      <c r="X72" s="23"/>
      <c r="Y72" s="26"/>
      <c r="Z72" s="26"/>
      <c r="AA72" s="26"/>
      <c r="AB72" s="26"/>
      <c r="AC72" s="26"/>
      <c r="AD72" s="26"/>
      <c r="AE72" s="26"/>
      <c r="AF72" s="26"/>
      <c r="AG72" s="23"/>
      <c r="AH72" s="23"/>
      <c r="AI72" s="23"/>
      <c r="AJ72" s="23"/>
      <c r="AK72" s="23"/>
      <c r="AL72" s="23"/>
      <c r="AM72" s="26"/>
      <c r="AN72" s="26"/>
      <c r="AO72" s="26"/>
      <c r="AP72" s="26"/>
      <c r="AQ72" s="23"/>
      <c r="AR72" s="23"/>
      <c r="AS72" s="23"/>
      <c r="AT72" s="23"/>
      <c r="AU72" s="26"/>
      <c r="AV72" s="26"/>
      <c r="AW72" s="26"/>
      <c r="AX72" s="26"/>
      <c r="AY72" s="26"/>
      <c r="AZ72" s="26"/>
      <c r="BA72" s="26"/>
      <c r="BB72" s="26"/>
      <c r="BC72" s="22"/>
      <c r="BD72" s="23"/>
      <c r="BE72" s="23"/>
      <c r="BF72" s="22"/>
      <c r="BG72" s="22"/>
      <c r="BH72" s="23"/>
      <c r="BI72" s="23"/>
      <c r="BJ72" s="22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3"/>
      <c r="CI72" s="23"/>
      <c r="CJ72" s="22"/>
      <c r="CK72" s="22"/>
      <c r="CM72" s="22"/>
      <c r="CN72" s="23"/>
      <c r="CO72" s="22"/>
    </row>
    <row r="73">
      <c r="A73" s="22" t="s">
        <v>33</v>
      </c>
      <c r="B73" s="22" t="s">
        <v>18</v>
      </c>
      <c r="C73" s="22" t="s">
        <v>34</v>
      </c>
      <c r="D73" s="22" t="s">
        <v>19</v>
      </c>
      <c r="E73" s="23">
        <v>1.0</v>
      </c>
      <c r="F73" s="23">
        <v>1.648578</v>
      </c>
      <c r="G73" s="22"/>
      <c r="H73" s="26"/>
      <c r="I73" s="26"/>
      <c r="J73" s="26"/>
      <c r="K73" s="26"/>
      <c r="L73" s="23"/>
      <c r="M73" s="23"/>
      <c r="N73" s="23"/>
      <c r="O73" s="23"/>
      <c r="P73" s="26"/>
      <c r="Q73" s="26"/>
      <c r="R73" s="26"/>
      <c r="S73" s="26"/>
      <c r="T73" s="26"/>
      <c r="U73" s="26"/>
      <c r="V73" s="26"/>
      <c r="W73" s="26"/>
      <c r="X73" s="23"/>
      <c r="Y73" s="26"/>
      <c r="Z73" s="26"/>
      <c r="AA73" s="26"/>
      <c r="AB73" s="26"/>
      <c r="AC73" s="26"/>
      <c r="AD73" s="26"/>
      <c r="AE73" s="26"/>
      <c r="AF73" s="26"/>
      <c r="AG73" s="23"/>
      <c r="AH73" s="23"/>
      <c r="AI73" s="23"/>
      <c r="AJ73" s="23"/>
      <c r="AK73" s="23"/>
      <c r="AL73" s="23"/>
      <c r="AM73" s="26"/>
      <c r="AN73" s="26"/>
      <c r="AO73" s="26"/>
      <c r="AP73" s="26"/>
      <c r="AQ73" s="23"/>
      <c r="AR73" s="23"/>
      <c r="AS73" s="23"/>
      <c r="AT73" s="23"/>
      <c r="AU73" s="26"/>
      <c r="AV73" s="26"/>
      <c r="AW73" s="26"/>
      <c r="AX73" s="26"/>
      <c r="AY73" s="26"/>
      <c r="AZ73" s="26"/>
      <c r="BA73" s="26"/>
      <c r="BB73" s="26"/>
      <c r="BC73" s="22"/>
      <c r="BD73" s="23"/>
      <c r="BE73" s="23"/>
      <c r="BF73" s="22"/>
      <c r="BG73" s="22"/>
      <c r="BH73" s="23"/>
      <c r="BI73" s="23"/>
      <c r="BJ73" s="22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3"/>
      <c r="CI73" s="23"/>
      <c r="CJ73" s="22"/>
      <c r="CK73" s="22"/>
      <c r="CM73" s="22"/>
      <c r="CN73" s="23"/>
      <c r="CO73" s="22"/>
    </row>
    <row r="74">
      <c r="A74" s="22" t="s">
        <v>33</v>
      </c>
      <c r="B74" s="22" t="s">
        <v>18</v>
      </c>
      <c r="C74" s="22" t="s">
        <v>34</v>
      </c>
      <c r="D74" s="22" t="s">
        <v>19</v>
      </c>
      <c r="E74" s="23">
        <v>1.0</v>
      </c>
      <c r="F74" s="23">
        <v>2.343587</v>
      </c>
      <c r="G74" s="22"/>
      <c r="H74" s="26"/>
      <c r="I74" s="26"/>
      <c r="J74" s="26"/>
      <c r="K74" s="26"/>
      <c r="L74" s="23"/>
      <c r="M74" s="23"/>
      <c r="N74" s="23"/>
      <c r="O74" s="23"/>
      <c r="P74" s="26"/>
      <c r="Q74" s="26"/>
      <c r="R74" s="26"/>
      <c r="S74" s="26"/>
      <c r="T74" s="26"/>
      <c r="U74" s="26"/>
      <c r="V74" s="26"/>
      <c r="W74" s="26"/>
      <c r="X74" s="23"/>
      <c r="Y74" s="26"/>
      <c r="Z74" s="26"/>
      <c r="AA74" s="26"/>
      <c r="AB74" s="26"/>
      <c r="AC74" s="26"/>
      <c r="AD74" s="26"/>
      <c r="AE74" s="26"/>
      <c r="AF74" s="26"/>
      <c r="AG74" s="23"/>
      <c r="AH74" s="23"/>
      <c r="AI74" s="23"/>
      <c r="AJ74" s="23"/>
      <c r="AK74" s="23"/>
      <c r="AL74" s="23"/>
      <c r="AM74" s="26"/>
      <c r="AN74" s="26"/>
      <c r="AO74" s="26"/>
      <c r="AP74" s="26"/>
      <c r="AQ74" s="23"/>
      <c r="AR74" s="23"/>
      <c r="AS74" s="23"/>
      <c r="AT74" s="23"/>
      <c r="AU74" s="26"/>
      <c r="AV74" s="26"/>
      <c r="AW74" s="26"/>
      <c r="AX74" s="26"/>
      <c r="AY74" s="26"/>
      <c r="AZ74" s="26"/>
      <c r="BA74" s="26"/>
      <c r="BB74" s="26"/>
      <c r="BC74" s="22"/>
      <c r="BD74" s="23"/>
      <c r="BE74" s="23"/>
      <c r="BF74" s="22"/>
      <c r="BG74" s="22"/>
      <c r="BH74" s="23"/>
      <c r="BI74" s="23"/>
      <c r="BJ74" s="22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3"/>
      <c r="CI74" s="23"/>
      <c r="CJ74" s="22"/>
      <c r="CK74" s="22"/>
      <c r="CM74" s="22"/>
      <c r="CN74" s="23"/>
      <c r="CO74" s="22"/>
    </row>
    <row r="75">
      <c r="A75" s="22" t="s">
        <v>33</v>
      </c>
      <c r="B75" s="22" t="s">
        <v>18</v>
      </c>
      <c r="C75" s="22" t="s">
        <v>34</v>
      </c>
      <c r="D75" s="22" t="s">
        <v>19</v>
      </c>
      <c r="E75" s="23">
        <v>1.0</v>
      </c>
      <c r="F75" s="23">
        <v>0.459535</v>
      </c>
      <c r="G75" s="22"/>
      <c r="H75" s="26"/>
      <c r="I75" s="26"/>
      <c r="J75" s="26"/>
      <c r="K75" s="26"/>
      <c r="L75" s="23"/>
      <c r="M75" s="23"/>
      <c r="N75" s="23"/>
      <c r="O75" s="23"/>
      <c r="P75" s="26"/>
      <c r="Q75" s="26"/>
      <c r="R75" s="26"/>
      <c r="S75" s="26"/>
      <c r="T75" s="26"/>
      <c r="U75" s="26"/>
      <c r="V75" s="26"/>
      <c r="W75" s="26"/>
      <c r="X75" s="23"/>
      <c r="Y75" s="26"/>
      <c r="Z75" s="26"/>
      <c r="AA75" s="26"/>
      <c r="AB75" s="26"/>
      <c r="AC75" s="26"/>
      <c r="AD75" s="26"/>
      <c r="AE75" s="26"/>
      <c r="AF75" s="26"/>
      <c r="AG75" s="23"/>
      <c r="AH75" s="23"/>
      <c r="AI75" s="23"/>
      <c r="AJ75" s="23"/>
      <c r="AK75" s="23"/>
      <c r="AL75" s="23"/>
      <c r="AM75" s="26"/>
      <c r="AN75" s="26"/>
      <c r="AO75" s="26"/>
      <c r="AP75" s="26"/>
      <c r="AQ75" s="23"/>
      <c r="AR75" s="23"/>
      <c r="AS75" s="23"/>
      <c r="AT75" s="23"/>
      <c r="AU75" s="26"/>
      <c r="AV75" s="26"/>
      <c r="AW75" s="26"/>
      <c r="AX75" s="26"/>
      <c r="AY75" s="26"/>
      <c r="AZ75" s="26"/>
      <c r="BA75" s="26"/>
      <c r="BB75" s="26"/>
      <c r="BC75" s="22"/>
      <c r="BD75" s="23"/>
      <c r="BE75" s="23"/>
      <c r="BF75" s="22"/>
      <c r="BG75" s="22"/>
      <c r="BH75" s="23"/>
      <c r="BI75" s="23"/>
      <c r="BJ75" s="22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3"/>
      <c r="CI75" s="23"/>
      <c r="CJ75" s="22"/>
      <c r="CK75" s="22"/>
      <c r="CM75" s="22"/>
      <c r="CN75" s="23"/>
      <c r="CO75" s="22"/>
    </row>
    <row r="76">
      <c r="A76" s="22" t="s">
        <v>33</v>
      </c>
      <c r="B76" s="22" t="s">
        <v>18</v>
      </c>
      <c r="C76" s="22" t="s">
        <v>34</v>
      </c>
      <c r="D76" s="22" t="s">
        <v>19</v>
      </c>
      <c r="E76" s="23">
        <v>1.0</v>
      </c>
      <c r="F76" s="23">
        <v>0.540434</v>
      </c>
      <c r="G76" s="22"/>
      <c r="H76" s="26"/>
      <c r="I76" s="26"/>
      <c r="J76" s="26"/>
      <c r="K76" s="26"/>
      <c r="L76" s="23"/>
      <c r="M76" s="23"/>
      <c r="N76" s="23"/>
      <c r="O76" s="23"/>
      <c r="P76" s="26"/>
      <c r="Q76" s="26"/>
      <c r="R76" s="26"/>
      <c r="S76" s="26"/>
      <c r="T76" s="26"/>
      <c r="U76" s="26"/>
      <c r="V76" s="26"/>
      <c r="W76" s="26"/>
      <c r="X76" s="23"/>
      <c r="Y76" s="26"/>
      <c r="Z76" s="26"/>
      <c r="AA76" s="26"/>
      <c r="AB76" s="26"/>
      <c r="AC76" s="26"/>
      <c r="AD76" s="26"/>
      <c r="AE76" s="26"/>
      <c r="AF76" s="26"/>
      <c r="AG76" s="23"/>
      <c r="AH76" s="23"/>
      <c r="AI76" s="23"/>
      <c r="AJ76" s="23"/>
      <c r="AK76" s="23"/>
      <c r="AL76" s="23"/>
      <c r="AM76" s="26"/>
      <c r="AN76" s="26"/>
      <c r="AO76" s="26"/>
      <c r="AP76" s="26"/>
      <c r="AQ76" s="23"/>
      <c r="AR76" s="23"/>
      <c r="AS76" s="23"/>
      <c r="AT76" s="23"/>
      <c r="AU76" s="26"/>
      <c r="AV76" s="26"/>
      <c r="AW76" s="26"/>
      <c r="AX76" s="26"/>
      <c r="AY76" s="26"/>
      <c r="AZ76" s="26"/>
      <c r="BA76" s="26"/>
      <c r="BB76" s="26"/>
      <c r="BC76" s="22"/>
      <c r="BD76" s="23"/>
      <c r="BE76" s="23"/>
      <c r="BF76" s="22"/>
      <c r="BG76" s="22"/>
      <c r="BH76" s="23"/>
      <c r="BI76" s="23"/>
      <c r="BJ76" s="22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3"/>
      <c r="CI76" s="23"/>
      <c r="CJ76" s="22"/>
      <c r="CK76" s="22"/>
      <c r="CM76" s="22"/>
      <c r="CN76" s="23"/>
      <c r="CO76" s="22"/>
    </row>
    <row r="77">
      <c r="A77" s="22" t="s">
        <v>33</v>
      </c>
      <c r="B77" s="22" t="s">
        <v>18</v>
      </c>
      <c r="C77" s="22" t="s">
        <v>34</v>
      </c>
      <c r="D77" s="22" t="s">
        <v>19</v>
      </c>
      <c r="E77" s="23">
        <v>1.0</v>
      </c>
      <c r="F77" s="23">
        <v>0.549537</v>
      </c>
      <c r="G77" s="22"/>
      <c r="H77" s="26"/>
      <c r="I77" s="26"/>
      <c r="J77" s="26"/>
      <c r="K77" s="26"/>
      <c r="L77" s="23"/>
      <c r="M77" s="23"/>
      <c r="N77" s="23"/>
      <c r="O77" s="23"/>
      <c r="P77" s="26"/>
      <c r="Q77" s="26"/>
      <c r="R77" s="26"/>
      <c r="S77" s="26"/>
      <c r="T77" s="26"/>
      <c r="U77" s="26"/>
      <c r="V77" s="26"/>
      <c r="W77" s="26"/>
      <c r="X77" s="23"/>
      <c r="Y77" s="26"/>
      <c r="Z77" s="26"/>
      <c r="AA77" s="26"/>
      <c r="AB77" s="26"/>
      <c r="AC77" s="26"/>
      <c r="AD77" s="26"/>
      <c r="AE77" s="26"/>
      <c r="AF77" s="26"/>
      <c r="AG77" s="23"/>
      <c r="AH77" s="23"/>
      <c r="AI77" s="23"/>
      <c r="AJ77" s="23"/>
      <c r="AK77" s="23"/>
      <c r="AL77" s="23"/>
      <c r="AM77" s="26"/>
      <c r="AN77" s="26"/>
      <c r="AO77" s="26"/>
      <c r="AP77" s="26"/>
      <c r="AQ77" s="23"/>
      <c r="AR77" s="23"/>
      <c r="AS77" s="23"/>
      <c r="AT77" s="23"/>
      <c r="AU77" s="26"/>
      <c r="AV77" s="26"/>
      <c r="AW77" s="26"/>
      <c r="AX77" s="26"/>
      <c r="AY77" s="26"/>
      <c r="AZ77" s="26"/>
      <c r="BA77" s="26"/>
      <c r="BB77" s="26"/>
      <c r="BC77" s="22"/>
      <c r="BD77" s="23"/>
      <c r="BE77" s="23"/>
      <c r="BF77" s="22"/>
      <c r="BG77" s="22"/>
      <c r="BH77" s="23"/>
      <c r="BI77" s="23"/>
      <c r="BJ77" s="22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3"/>
      <c r="CI77" s="23"/>
      <c r="CJ77" s="22"/>
      <c r="CK77" s="22"/>
      <c r="CM77" s="22"/>
      <c r="CN77" s="23"/>
      <c r="CO77" s="22"/>
    </row>
    <row r="78">
      <c r="A78" s="22" t="s">
        <v>33</v>
      </c>
      <c r="B78" s="22" t="s">
        <v>18</v>
      </c>
      <c r="C78" s="22" t="s">
        <v>34</v>
      </c>
      <c r="D78" s="22" t="s">
        <v>19</v>
      </c>
      <c r="E78" s="23">
        <v>1.0</v>
      </c>
      <c r="F78" s="23">
        <v>0.56594</v>
      </c>
      <c r="G78" s="22"/>
      <c r="H78" s="26"/>
      <c r="I78" s="26"/>
      <c r="J78" s="26"/>
      <c r="K78" s="26"/>
      <c r="L78" s="23"/>
      <c r="M78" s="23"/>
      <c r="N78" s="23"/>
      <c r="O78" s="23"/>
      <c r="P78" s="26"/>
      <c r="Q78" s="26"/>
      <c r="R78" s="26"/>
      <c r="S78" s="26"/>
      <c r="T78" s="26"/>
      <c r="U78" s="26"/>
      <c r="V78" s="26"/>
      <c r="W78" s="26"/>
      <c r="X78" s="23"/>
      <c r="Y78" s="26"/>
      <c r="Z78" s="26"/>
      <c r="AA78" s="26"/>
      <c r="AB78" s="26"/>
      <c r="AC78" s="26"/>
      <c r="AD78" s="26"/>
      <c r="AE78" s="26"/>
      <c r="AF78" s="26"/>
      <c r="AG78" s="23"/>
      <c r="AH78" s="23"/>
      <c r="AI78" s="23"/>
      <c r="AJ78" s="23"/>
      <c r="AK78" s="23"/>
      <c r="AL78" s="23"/>
      <c r="AM78" s="26"/>
      <c r="AN78" s="26"/>
      <c r="AO78" s="26"/>
      <c r="AP78" s="26"/>
      <c r="AQ78" s="23"/>
      <c r="AR78" s="23"/>
      <c r="AS78" s="23"/>
      <c r="AT78" s="23"/>
      <c r="AU78" s="26"/>
      <c r="AV78" s="26"/>
      <c r="AW78" s="26"/>
      <c r="AX78" s="26"/>
      <c r="AY78" s="26"/>
      <c r="AZ78" s="26"/>
      <c r="BA78" s="26"/>
      <c r="BB78" s="26"/>
      <c r="BC78" s="22"/>
      <c r="BD78" s="23"/>
      <c r="BE78" s="23"/>
      <c r="BF78" s="22"/>
      <c r="BG78" s="22"/>
      <c r="BH78" s="23"/>
      <c r="BI78" s="23"/>
      <c r="BJ78" s="22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3"/>
      <c r="CI78" s="23"/>
      <c r="CJ78" s="22"/>
      <c r="CK78" s="22"/>
      <c r="CM78" s="22"/>
      <c r="CN78" s="23"/>
      <c r="CO78" s="22"/>
    </row>
    <row r="79">
      <c r="A79" s="22" t="s">
        <v>33</v>
      </c>
      <c r="B79" s="22" t="s">
        <v>18</v>
      </c>
      <c r="C79" s="22" t="s">
        <v>34</v>
      </c>
      <c r="D79" s="22" t="s">
        <v>19</v>
      </c>
      <c r="E79" s="23">
        <v>1.0</v>
      </c>
      <c r="F79" s="23">
        <v>0.461871</v>
      </c>
      <c r="G79" s="22"/>
      <c r="H79" s="26"/>
      <c r="I79" s="26"/>
      <c r="J79" s="26"/>
      <c r="K79" s="26"/>
      <c r="L79" s="23"/>
      <c r="M79" s="23"/>
      <c r="N79" s="23"/>
      <c r="O79" s="23"/>
      <c r="P79" s="26"/>
      <c r="Q79" s="26"/>
      <c r="R79" s="26"/>
      <c r="S79" s="26"/>
      <c r="T79" s="26"/>
      <c r="U79" s="26"/>
      <c r="V79" s="26"/>
      <c r="W79" s="26"/>
      <c r="X79" s="23"/>
      <c r="Y79" s="26"/>
      <c r="Z79" s="26"/>
      <c r="AA79" s="26"/>
      <c r="AB79" s="26"/>
      <c r="AC79" s="26"/>
      <c r="AD79" s="26"/>
      <c r="AE79" s="26"/>
      <c r="AF79" s="26"/>
      <c r="AG79" s="23"/>
      <c r="AH79" s="23"/>
      <c r="AI79" s="23"/>
      <c r="AJ79" s="23"/>
      <c r="AK79" s="23"/>
      <c r="AL79" s="23"/>
      <c r="AM79" s="26"/>
      <c r="AN79" s="26"/>
      <c r="AO79" s="26"/>
      <c r="AP79" s="26"/>
      <c r="AQ79" s="23"/>
      <c r="AR79" s="23"/>
      <c r="AS79" s="23"/>
      <c r="AT79" s="23"/>
      <c r="AU79" s="26"/>
      <c r="AV79" s="26"/>
      <c r="AW79" s="26"/>
      <c r="AX79" s="26"/>
      <c r="AY79" s="26"/>
      <c r="AZ79" s="26"/>
      <c r="BA79" s="26"/>
      <c r="BB79" s="26"/>
      <c r="BC79" s="22"/>
      <c r="BD79" s="23"/>
      <c r="BE79" s="23"/>
      <c r="BF79" s="22"/>
      <c r="BG79" s="22"/>
      <c r="BH79" s="23"/>
      <c r="BI79" s="23"/>
      <c r="BJ79" s="22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3"/>
      <c r="CI79" s="23"/>
      <c r="CJ79" s="22"/>
      <c r="CK79" s="22"/>
      <c r="CM79" s="22"/>
      <c r="CN79" s="23"/>
      <c r="CO79" s="22"/>
    </row>
    <row r="80">
      <c r="A80" s="22" t="s">
        <v>33</v>
      </c>
      <c r="B80" s="22" t="s">
        <v>18</v>
      </c>
      <c r="C80" s="22" t="s">
        <v>34</v>
      </c>
      <c r="D80" s="22" t="s">
        <v>19</v>
      </c>
      <c r="E80" s="23">
        <v>1.0</v>
      </c>
      <c r="F80" s="23">
        <v>0.58294</v>
      </c>
      <c r="G80" s="22"/>
      <c r="H80" s="26"/>
      <c r="I80" s="26"/>
      <c r="J80" s="26"/>
      <c r="K80" s="26"/>
      <c r="L80" s="23"/>
      <c r="M80" s="23"/>
      <c r="N80" s="23"/>
      <c r="O80" s="23"/>
      <c r="P80" s="26"/>
      <c r="Q80" s="26"/>
      <c r="R80" s="26"/>
      <c r="S80" s="26"/>
      <c r="T80" s="26"/>
      <c r="U80" s="26"/>
      <c r="V80" s="26"/>
      <c r="W80" s="26"/>
      <c r="X80" s="23"/>
      <c r="Y80" s="26"/>
      <c r="Z80" s="26"/>
      <c r="AA80" s="26"/>
      <c r="AB80" s="26"/>
      <c r="AC80" s="26"/>
      <c r="AD80" s="26"/>
      <c r="AE80" s="26"/>
      <c r="AF80" s="26"/>
      <c r="AG80" s="23"/>
      <c r="AH80" s="23"/>
      <c r="AI80" s="23"/>
      <c r="AJ80" s="23"/>
      <c r="AK80" s="23"/>
      <c r="AL80" s="23"/>
      <c r="AM80" s="26"/>
      <c r="AN80" s="26"/>
      <c r="AO80" s="26"/>
      <c r="AP80" s="26"/>
      <c r="AQ80" s="23"/>
      <c r="AR80" s="23"/>
      <c r="AS80" s="23"/>
      <c r="AT80" s="23"/>
      <c r="AU80" s="26"/>
      <c r="AV80" s="26"/>
      <c r="AW80" s="26"/>
      <c r="AX80" s="26"/>
      <c r="AY80" s="26"/>
      <c r="AZ80" s="26"/>
      <c r="BA80" s="26"/>
      <c r="BB80" s="26"/>
      <c r="BC80" s="22"/>
      <c r="BD80" s="23"/>
      <c r="BE80" s="23"/>
      <c r="BF80" s="22"/>
      <c r="BG80" s="22"/>
      <c r="BH80" s="23"/>
      <c r="BI80" s="23"/>
      <c r="BJ80" s="22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3"/>
      <c r="CI80" s="23"/>
      <c r="CJ80" s="22"/>
      <c r="CK80" s="22"/>
      <c r="CM80" s="22"/>
      <c r="CN80" s="23"/>
      <c r="CO80" s="22"/>
    </row>
    <row r="81">
      <c r="A81" s="22" t="s">
        <v>33</v>
      </c>
      <c r="B81" s="22" t="s">
        <v>18</v>
      </c>
      <c r="C81" s="22" t="s">
        <v>34</v>
      </c>
      <c r="D81" s="22" t="s">
        <v>19</v>
      </c>
      <c r="E81" s="23">
        <v>1.0</v>
      </c>
      <c r="F81" s="23">
        <v>0.688952</v>
      </c>
      <c r="G81" s="22"/>
      <c r="H81" s="26"/>
      <c r="I81" s="26"/>
      <c r="J81" s="26"/>
      <c r="K81" s="26"/>
      <c r="L81" s="23"/>
      <c r="M81" s="23"/>
      <c r="N81" s="23"/>
      <c r="O81" s="23"/>
      <c r="P81" s="26"/>
      <c r="Q81" s="26"/>
      <c r="R81" s="26"/>
      <c r="S81" s="26"/>
      <c r="T81" s="26"/>
      <c r="U81" s="26"/>
      <c r="V81" s="26"/>
      <c r="W81" s="26"/>
      <c r="X81" s="23"/>
      <c r="Y81" s="26"/>
      <c r="Z81" s="26"/>
      <c r="AA81" s="26"/>
      <c r="AB81" s="26"/>
      <c r="AC81" s="26"/>
      <c r="AD81" s="26"/>
      <c r="AE81" s="26"/>
      <c r="AF81" s="26"/>
      <c r="AG81" s="23"/>
      <c r="AH81" s="23"/>
      <c r="AI81" s="23"/>
      <c r="AJ81" s="23"/>
      <c r="AK81" s="23"/>
      <c r="AL81" s="23"/>
      <c r="AM81" s="26"/>
      <c r="AN81" s="26"/>
      <c r="AO81" s="26"/>
      <c r="AP81" s="26"/>
      <c r="AQ81" s="23"/>
      <c r="AR81" s="23"/>
      <c r="AS81" s="23"/>
      <c r="AT81" s="23"/>
      <c r="AU81" s="26"/>
      <c r="AV81" s="26"/>
      <c r="AW81" s="26"/>
      <c r="AX81" s="26"/>
      <c r="AY81" s="26"/>
      <c r="AZ81" s="26"/>
      <c r="BA81" s="26"/>
      <c r="BB81" s="26"/>
      <c r="BC81" s="22"/>
      <c r="BD81" s="23"/>
      <c r="BE81" s="23"/>
      <c r="BF81" s="22"/>
      <c r="BG81" s="22"/>
      <c r="BH81" s="23"/>
      <c r="BI81" s="23"/>
      <c r="BJ81" s="22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3"/>
      <c r="CI81" s="23"/>
      <c r="CJ81" s="22"/>
      <c r="CK81" s="22"/>
      <c r="CM81" s="22"/>
      <c r="CN81" s="23"/>
      <c r="CO81" s="22"/>
    </row>
    <row r="82">
      <c r="A82" s="22" t="s">
        <v>33</v>
      </c>
      <c r="B82" s="22" t="s">
        <v>18</v>
      </c>
      <c r="C82" s="22" t="s">
        <v>34</v>
      </c>
      <c r="D82" s="22" t="s">
        <v>19</v>
      </c>
      <c r="E82" s="23">
        <v>1.0</v>
      </c>
      <c r="F82" s="23">
        <v>0.559079</v>
      </c>
      <c r="G82" s="22"/>
      <c r="H82" s="26"/>
      <c r="I82" s="26"/>
      <c r="J82" s="26"/>
      <c r="K82" s="26"/>
      <c r="L82" s="23"/>
      <c r="M82" s="23"/>
      <c r="N82" s="23"/>
      <c r="O82" s="23"/>
      <c r="P82" s="26"/>
      <c r="Q82" s="26"/>
      <c r="R82" s="26"/>
      <c r="S82" s="26"/>
      <c r="T82" s="26"/>
      <c r="U82" s="26"/>
      <c r="V82" s="26"/>
      <c r="W82" s="26"/>
      <c r="X82" s="23"/>
      <c r="Y82" s="26"/>
      <c r="Z82" s="26"/>
      <c r="AA82" s="26"/>
      <c r="AB82" s="26"/>
      <c r="AC82" s="26"/>
      <c r="AD82" s="26"/>
      <c r="AE82" s="26"/>
      <c r="AF82" s="26"/>
      <c r="AG82" s="23"/>
      <c r="AH82" s="23"/>
      <c r="AI82" s="23"/>
      <c r="AJ82" s="23"/>
      <c r="AK82" s="23"/>
      <c r="AL82" s="23"/>
      <c r="AM82" s="26"/>
      <c r="AN82" s="26"/>
      <c r="AO82" s="26"/>
      <c r="AP82" s="26"/>
      <c r="AQ82" s="23"/>
      <c r="AR82" s="23"/>
      <c r="AS82" s="23"/>
      <c r="AT82" s="23"/>
      <c r="AU82" s="26"/>
      <c r="AV82" s="26"/>
      <c r="AW82" s="26"/>
      <c r="AX82" s="26"/>
      <c r="AY82" s="26"/>
      <c r="AZ82" s="26"/>
      <c r="BA82" s="26"/>
      <c r="BB82" s="26"/>
      <c r="BC82" s="22"/>
      <c r="BD82" s="23"/>
      <c r="BE82" s="23"/>
      <c r="BF82" s="22"/>
      <c r="BG82" s="22"/>
      <c r="BH82" s="23"/>
      <c r="BI82" s="23"/>
      <c r="BJ82" s="22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3"/>
      <c r="CI82" s="23"/>
      <c r="CJ82" s="22"/>
      <c r="CK82" s="22"/>
      <c r="CM82" s="22"/>
      <c r="CN82" s="23"/>
      <c r="CO82" s="22"/>
    </row>
    <row r="83">
      <c r="A83" s="22" t="s">
        <v>33</v>
      </c>
      <c r="B83" s="22" t="s">
        <v>18</v>
      </c>
      <c r="C83" s="22" t="s">
        <v>34</v>
      </c>
      <c r="D83" s="22" t="s">
        <v>19</v>
      </c>
      <c r="E83" s="23">
        <v>1.0</v>
      </c>
      <c r="F83" s="23">
        <v>0.601765</v>
      </c>
      <c r="G83" s="22"/>
      <c r="H83" s="26"/>
      <c r="I83" s="26"/>
      <c r="J83" s="26"/>
      <c r="K83" s="26"/>
      <c r="L83" s="23"/>
      <c r="M83" s="23"/>
      <c r="N83" s="23"/>
      <c r="O83" s="23"/>
      <c r="P83" s="26"/>
      <c r="Q83" s="26"/>
      <c r="R83" s="26"/>
      <c r="S83" s="26"/>
      <c r="T83" s="26"/>
      <c r="U83" s="26"/>
      <c r="V83" s="26"/>
      <c r="W83" s="26"/>
      <c r="X83" s="23"/>
      <c r="Y83" s="26"/>
      <c r="Z83" s="26"/>
      <c r="AA83" s="26"/>
      <c r="AB83" s="26"/>
      <c r="AC83" s="26"/>
      <c r="AD83" s="26"/>
      <c r="AE83" s="26"/>
      <c r="AF83" s="26"/>
      <c r="AG83" s="23"/>
      <c r="AH83" s="23"/>
      <c r="AI83" s="23"/>
      <c r="AJ83" s="23"/>
      <c r="AK83" s="23"/>
      <c r="AL83" s="23"/>
      <c r="AM83" s="26"/>
      <c r="AN83" s="26"/>
      <c r="AO83" s="26"/>
      <c r="AP83" s="26"/>
      <c r="AQ83" s="23"/>
      <c r="AR83" s="23"/>
      <c r="AS83" s="23"/>
      <c r="AT83" s="23"/>
      <c r="AU83" s="26"/>
      <c r="AV83" s="26"/>
      <c r="AW83" s="26"/>
      <c r="AX83" s="26"/>
      <c r="AY83" s="26"/>
      <c r="AZ83" s="26"/>
      <c r="BA83" s="26"/>
      <c r="BB83" s="26"/>
      <c r="BC83" s="22"/>
      <c r="BD83" s="23"/>
      <c r="BE83" s="23"/>
      <c r="BF83" s="22"/>
      <c r="BG83" s="22"/>
      <c r="BH83" s="23"/>
      <c r="BI83" s="23"/>
      <c r="BJ83" s="22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3"/>
      <c r="CI83" s="23"/>
      <c r="CJ83" s="22"/>
      <c r="CK83" s="22"/>
      <c r="CM83" s="22"/>
      <c r="CN83" s="23"/>
      <c r="CO83" s="22"/>
    </row>
    <row r="84">
      <c r="A84" s="22" t="s">
        <v>33</v>
      </c>
      <c r="B84" s="22" t="s">
        <v>18</v>
      </c>
      <c r="C84" s="22" t="s">
        <v>34</v>
      </c>
      <c r="D84" s="22" t="s">
        <v>19</v>
      </c>
      <c r="E84" s="23">
        <v>1.0</v>
      </c>
      <c r="F84" s="23">
        <v>0.530253</v>
      </c>
      <c r="G84" s="22"/>
      <c r="H84" s="26"/>
      <c r="I84" s="26"/>
      <c r="J84" s="26"/>
      <c r="K84" s="26"/>
      <c r="L84" s="23"/>
      <c r="M84" s="23"/>
      <c r="N84" s="23"/>
      <c r="O84" s="23"/>
      <c r="P84" s="26"/>
      <c r="Q84" s="26"/>
      <c r="R84" s="26"/>
      <c r="S84" s="26"/>
      <c r="T84" s="26"/>
      <c r="U84" s="26"/>
      <c r="V84" s="26"/>
      <c r="W84" s="26"/>
      <c r="X84" s="23"/>
      <c r="Y84" s="26"/>
      <c r="Z84" s="26"/>
      <c r="AA84" s="26"/>
      <c r="AB84" s="26"/>
      <c r="AC84" s="26"/>
      <c r="AD84" s="26"/>
      <c r="AE84" s="26"/>
      <c r="AF84" s="26"/>
      <c r="AG84" s="23"/>
      <c r="AH84" s="23"/>
      <c r="AI84" s="23"/>
      <c r="AJ84" s="23"/>
      <c r="AK84" s="23"/>
      <c r="AL84" s="23"/>
      <c r="AM84" s="26"/>
      <c r="AN84" s="26"/>
      <c r="AO84" s="26"/>
      <c r="AP84" s="26"/>
      <c r="AQ84" s="23"/>
      <c r="AR84" s="23"/>
      <c r="AS84" s="23"/>
      <c r="AT84" s="23"/>
      <c r="AU84" s="26"/>
      <c r="AV84" s="26"/>
      <c r="AW84" s="26"/>
      <c r="AX84" s="26"/>
      <c r="AY84" s="26"/>
      <c r="AZ84" s="26"/>
      <c r="BA84" s="26"/>
      <c r="BB84" s="26"/>
      <c r="BC84" s="22"/>
      <c r="BD84" s="23"/>
      <c r="BE84" s="23"/>
      <c r="BF84" s="22"/>
      <c r="BG84" s="22"/>
      <c r="BH84" s="23"/>
      <c r="BI84" s="23"/>
      <c r="BJ84" s="22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3"/>
      <c r="CI84" s="23"/>
      <c r="CJ84" s="22"/>
      <c r="CK84" s="22"/>
      <c r="CM84" s="22"/>
      <c r="CN84" s="23"/>
      <c r="CO84" s="22"/>
    </row>
    <row r="85">
      <c r="A85" s="22" t="s">
        <v>33</v>
      </c>
      <c r="B85" s="22" t="s">
        <v>18</v>
      </c>
      <c r="C85" s="22" t="s">
        <v>34</v>
      </c>
      <c r="D85" s="22" t="s">
        <v>19</v>
      </c>
      <c r="E85" s="23">
        <v>1.0</v>
      </c>
      <c r="F85" s="23">
        <v>0.548817</v>
      </c>
      <c r="G85" s="22"/>
      <c r="H85" s="26"/>
      <c r="I85" s="26"/>
      <c r="J85" s="26"/>
      <c r="K85" s="26"/>
      <c r="L85" s="23"/>
      <c r="M85" s="23"/>
      <c r="N85" s="23"/>
      <c r="O85" s="23"/>
      <c r="P85" s="26"/>
      <c r="Q85" s="26"/>
      <c r="R85" s="26"/>
      <c r="S85" s="26"/>
      <c r="T85" s="26"/>
      <c r="U85" s="26"/>
      <c r="V85" s="26"/>
      <c r="W85" s="26"/>
      <c r="X85" s="23"/>
      <c r="Y85" s="26"/>
      <c r="Z85" s="26"/>
      <c r="AA85" s="26"/>
      <c r="AB85" s="26"/>
      <c r="AC85" s="26"/>
      <c r="AD85" s="26"/>
      <c r="AE85" s="26"/>
      <c r="AF85" s="26"/>
      <c r="AG85" s="23"/>
      <c r="AH85" s="23"/>
      <c r="AI85" s="23"/>
      <c r="AJ85" s="23"/>
      <c r="AK85" s="23"/>
      <c r="AL85" s="23"/>
      <c r="AM85" s="26"/>
      <c r="AN85" s="26"/>
      <c r="AO85" s="26"/>
      <c r="AP85" s="26"/>
      <c r="AQ85" s="23"/>
      <c r="AR85" s="23"/>
      <c r="AS85" s="23"/>
      <c r="AT85" s="23"/>
      <c r="AU85" s="26"/>
      <c r="AV85" s="26"/>
      <c r="AW85" s="26"/>
      <c r="AX85" s="26"/>
      <c r="AY85" s="26"/>
      <c r="AZ85" s="26"/>
      <c r="BA85" s="26"/>
      <c r="BB85" s="26"/>
      <c r="BC85" s="22"/>
      <c r="BD85" s="23"/>
      <c r="BE85" s="23"/>
      <c r="BF85" s="22"/>
      <c r="BG85" s="22"/>
      <c r="BH85" s="23"/>
      <c r="BI85" s="23"/>
      <c r="BJ85" s="22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3"/>
      <c r="CI85" s="23"/>
      <c r="CJ85" s="22"/>
      <c r="CK85" s="22"/>
      <c r="CM85" s="22"/>
      <c r="CN85" s="23"/>
      <c r="CO85" s="22"/>
    </row>
    <row r="86">
      <c r="A86" s="22" t="s">
        <v>33</v>
      </c>
      <c r="B86" s="22" t="s">
        <v>18</v>
      </c>
      <c r="C86" s="22" t="s">
        <v>34</v>
      </c>
      <c r="D86" s="22" t="s">
        <v>19</v>
      </c>
      <c r="E86" s="23">
        <v>1.0</v>
      </c>
      <c r="F86" s="23">
        <v>0.66515</v>
      </c>
      <c r="G86" s="22"/>
      <c r="H86" s="26"/>
      <c r="I86" s="26"/>
      <c r="J86" s="26"/>
      <c r="K86" s="26"/>
      <c r="L86" s="23"/>
      <c r="M86" s="23"/>
      <c r="N86" s="23"/>
      <c r="O86" s="23"/>
      <c r="P86" s="26"/>
      <c r="Q86" s="26"/>
      <c r="R86" s="26"/>
      <c r="S86" s="26"/>
      <c r="T86" s="26"/>
      <c r="U86" s="26"/>
      <c r="V86" s="26"/>
      <c r="W86" s="26"/>
      <c r="X86" s="23"/>
      <c r="Y86" s="26"/>
      <c r="Z86" s="26"/>
      <c r="AA86" s="26"/>
      <c r="AB86" s="26"/>
      <c r="AC86" s="26"/>
      <c r="AD86" s="26"/>
      <c r="AE86" s="26"/>
      <c r="AF86" s="26"/>
      <c r="AG86" s="23"/>
      <c r="AH86" s="23"/>
      <c r="AI86" s="23"/>
      <c r="AJ86" s="23"/>
      <c r="AK86" s="23"/>
      <c r="AL86" s="23"/>
      <c r="AM86" s="26"/>
      <c r="AN86" s="26"/>
      <c r="AO86" s="26"/>
      <c r="AP86" s="26"/>
      <c r="AQ86" s="23"/>
      <c r="AR86" s="23"/>
      <c r="AS86" s="23"/>
      <c r="AT86" s="23"/>
      <c r="AU86" s="26"/>
      <c r="AV86" s="26"/>
      <c r="AW86" s="26"/>
      <c r="AX86" s="26"/>
      <c r="AY86" s="26"/>
      <c r="AZ86" s="26"/>
      <c r="BA86" s="26"/>
      <c r="BB86" s="26"/>
      <c r="BC86" s="22"/>
      <c r="BD86" s="23"/>
      <c r="BE86" s="23"/>
      <c r="BF86" s="22"/>
      <c r="BG86" s="22"/>
      <c r="BH86" s="23"/>
      <c r="BI86" s="23"/>
      <c r="BJ86" s="22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3"/>
      <c r="CI86" s="23"/>
      <c r="CJ86" s="22"/>
      <c r="CK86" s="22"/>
      <c r="CM86" s="22"/>
      <c r="CN86" s="23"/>
      <c r="CO86" s="22"/>
    </row>
    <row r="87">
      <c r="A87" s="22" t="s">
        <v>33</v>
      </c>
      <c r="B87" s="22" t="s">
        <v>18</v>
      </c>
      <c r="C87" s="22" t="s">
        <v>34</v>
      </c>
      <c r="D87" s="22" t="s">
        <v>19</v>
      </c>
      <c r="E87" s="23">
        <v>1.0</v>
      </c>
      <c r="F87" s="23">
        <v>0.580459</v>
      </c>
      <c r="G87" s="22"/>
      <c r="H87" s="26"/>
      <c r="I87" s="26"/>
      <c r="J87" s="26"/>
      <c r="K87" s="26"/>
      <c r="L87" s="23"/>
      <c r="M87" s="23"/>
      <c r="N87" s="23"/>
      <c r="O87" s="23"/>
      <c r="P87" s="26"/>
      <c r="Q87" s="26"/>
      <c r="R87" s="26"/>
      <c r="S87" s="26"/>
      <c r="T87" s="26"/>
      <c r="U87" s="26"/>
      <c r="V87" s="26"/>
      <c r="W87" s="26"/>
      <c r="X87" s="23"/>
      <c r="Y87" s="26"/>
      <c r="Z87" s="26"/>
      <c r="AA87" s="26"/>
      <c r="AB87" s="26"/>
      <c r="AC87" s="26"/>
      <c r="AD87" s="26"/>
      <c r="AE87" s="26"/>
      <c r="AF87" s="26"/>
      <c r="AG87" s="23"/>
      <c r="AH87" s="23"/>
      <c r="AI87" s="23"/>
      <c r="AJ87" s="23"/>
      <c r="AK87" s="23"/>
      <c r="AL87" s="23"/>
      <c r="AM87" s="26"/>
      <c r="AN87" s="26"/>
      <c r="AO87" s="26"/>
      <c r="AP87" s="26"/>
      <c r="AQ87" s="23"/>
      <c r="AR87" s="23"/>
      <c r="AS87" s="23"/>
      <c r="AT87" s="23"/>
      <c r="AU87" s="26"/>
      <c r="AV87" s="26"/>
      <c r="AW87" s="26"/>
      <c r="AX87" s="26"/>
      <c r="AY87" s="26"/>
      <c r="AZ87" s="26"/>
      <c r="BA87" s="26"/>
      <c r="BB87" s="26"/>
      <c r="BC87" s="22"/>
      <c r="BD87" s="23"/>
      <c r="BE87" s="23"/>
      <c r="BF87" s="22"/>
      <c r="BG87" s="22"/>
      <c r="BH87" s="23"/>
      <c r="BI87" s="23"/>
      <c r="BJ87" s="22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3"/>
      <c r="CI87" s="23"/>
      <c r="CJ87" s="22"/>
      <c r="CK87" s="22"/>
      <c r="CM87" s="22"/>
      <c r="CN87" s="23"/>
      <c r="CO87" s="22"/>
    </row>
    <row r="88">
      <c r="A88" s="22" t="s">
        <v>33</v>
      </c>
      <c r="B88" s="22" t="s">
        <v>18</v>
      </c>
      <c r="C88" s="22" t="s">
        <v>34</v>
      </c>
      <c r="D88" s="22" t="s">
        <v>19</v>
      </c>
      <c r="E88" s="23">
        <v>1.0</v>
      </c>
      <c r="F88" s="23">
        <v>0.404543</v>
      </c>
      <c r="G88" s="22"/>
      <c r="H88" s="26"/>
      <c r="I88" s="26"/>
      <c r="J88" s="26"/>
      <c r="K88" s="26"/>
      <c r="L88" s="23"/>
      <c r="M88" s="23"/>
      <c r="N88" s="23"/>
      <c r="O88" s="23"/>
      <c r="P88" s="26"/>
      <c r="Q88" s="26"/>
      <c r="R88" s="26"/>
      <c r="S88" s="26"/>
      <c r="T88" s="26"/>
      <c r="U88" s="26"/>
      <c r="V88" s="26"/>
      <c r="W88" s="26"/>
      <c r="X88" s="23"/>
      <c r="Y88" s="26"/>
      <c r="Z88" s="26"/>
      <c r="AA88" s="26"/>
      <c r="AB88" s="26"/>
      <c r="AC88" s="26"/>
      <c r="AD88" s="26"/>
      <c r="AE88" s="26"/>
      <c r="AF88" s="26"/>
      <c r="AG88" s="23"/>
      <c r="AH88" s="23"/>
      <c r="AI88" s="23"/>
      <c r="AJ88" s="23"/>
      <c r="AK88" s="23"/>
      <c r="AL88" s="23"/>
      <c r="AM88" s="26"/>
      <c r="AN88" s="26"/>
      <c r="AO88" s="26"/>
      <c r="AP88" s="26"/>
      <c r="AQ88" s="23"/>
      <c r="AR88" s="23"/>
      <c r="AS88" s="23"/>
      <c r="AT88" s="23"/>
      <c r="AU88" s="26"/>
      <c r="AV88" s="26"/>
      <c r="AW88" s="26"/>
      <c r="AX88" s="26"/>
      <c r="AY88" s="26"/>
      <c r="AZ88" s="26"/>
      <c r="BA88" s="26"/>
      <c r="BB88" s="26"/>
      <c r="BC88" s="22"/>
      <c r="BD88" s="23"/>
      <c r="BE88" s="23"/>
      <c r="BF88" s="22"/>
      <c r="BG88" s="22"/>
      <c r="BH88" s="23"/>
      <c r="BI88" s="23"/>
      <c r="BJ88" s="22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3"/>
      <c r="CI88" s="23"/>
      <c r="CJ88" s="22"/>
      <c r="CK88" s="22"/>
      <c r="CM88" s="22"/>
      <c r="CN88" s="23"/>
      <c r="CO88" s="22"/>
    </row>
    <row r="89">
      <c r="A89" s="22" t="s">
        <v>33</v>
      </c>
      <c r="B89" s="22" t="s">
        <v>18</v>
      </c>
      <c r="C89" s="22" t="s">
        <v>34</v>
      </c>
      <c r="D89" s="22" t="s">
        <v>19</v>
      </c>
      <c r="E89" s="23">
        <v>1.0</v>
      </c>
      <c r="F89" s="23">
        <v>0.531434</v>
      </c>
      <c r="G89" s="22"/>
      <c r="H89" s="26"/>
      <c r="I89" s="26"/>
      <c r="J89" s="26"/>
      <c r="K89" s="26"/>
      <c r="L89" s="23"/>
      <c r="M89" s="23"/>
      <c r="N89" s="23"/>
      <c r="O89" s="23"/>
      <c r="P89" s="26"/>
      <c r="Q89" s="26"/>
      <c r="R89" s="26"/>
      <c r="S89" s="26"/>
      <c r="T89" s="26"/>
      <c r="U89" s="26"/>
      <c r="V89" s="26"/>
      <c r="W89" s="26"/>
      <c r="X89" s="23"/>
      <c r="Y89" s="26"/>
      <c r="Z89" s="26"/>
      <c r="AA89" s="26"/>
      <c r="AB89" s="26"/>
      <c r="AC89" s="26"/>
      <c r="AD89" s="26"/>
      <c r="AE89" s="26"/>
      <c r="AF89" s="26"/>
      <c r="AG89" s="23"/>
      <c r="AH89" s="23"/>
      <c r="AI89" s="23"/>
      <c r="AJ89" s="23"/>
      <c r="AK89" s="23"/>
      <c r="AL89" s="23"/>
      <c r="AM89" s="26"/>
      <c r="AN89" s="26"/>
      <c r="AO89" s="26"/>
      <c r="AP89" s="26"/>
      <c r="AQ89" s="23"/>
      <c r="AR89" s="23"/>
      <c r="AS89" s="23"/>
      <c r="AT89" s="23"/>
      <c r="AU89" s="26"/>
      <c r="AV89" s="26"/>
      <c r="AW89" s="26"/>
      <c r="AX89" s="26"/>
      <c r="AY89" s="26"/>
      <c r="AZ89" s="26"/>
      <c r="BA89" s="26"/>
      <c r="BB89" s="26"/>
      <c r="BC89" s="22"/>
      <c r="BD89" s="23"/>
      <c r="BE89" s="23"/>
      <c r="BF89" s="22"/>
      <c r="BG89" s="22"/>
      <c r="BH89" s="23"/>
      <c r="BI89" s="23"/>
      <c r="BJ89" s="22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3"/>
      <c r="CI89" s="23"/>
      <c r="CJ89" s="22"/>
      <c r="CK89" s="22"/>
      <c r="CM89" s="22"/>
      <c r="CN89" s="23"/>
      <c r="CO89" s="22"/>
    </row>
    <row r="90">
      <c r="A90" s="22" t="s">
        <v>33</v>
      </c>
      <c r="B90" s="22" t="s">
        <v>18</v>
      </c>
      <c r="C90" s="22" t="s">
        <v>34</v>
      </c>
      <c r="D90" s="22" t="s">
        <v>19</v>
      </c>
      <c r="E90" s="23">
        <v>1.0</v>
      </c>
      <c r="F90" s="23">
        <v>0.564559</v>
      </c>
      <c r="G90" s="22"/>
      <c r="H90" s="26"/>
      <c r="I90" s="26"/>
      <c r="J90" s="26"/>
      <c r="K90" s="26"/>
      <c r="L90" s="23"/>
      <c r="M90" s="23"/>
      <c r="N90" s="23"/>
      <c r="O90" s="23"/>
      <c r="P90" s="26"/>
      <c r="Q90" s="26"/>
      <c r="R90" s="26"/>
      <c r="S90" s="26"/>
      <c r="T90" s="26"/>
      <c r="U90" s="26"/>
      <c r="V90" s="26"/>
      <c r="W90" s="26"/>
      <c r="X90" s="23"/>
      <c r="Y90" s="26"/>
      <c r="Z90" s="26"/>
      <c r="AA90" s="26"/>
      <c r="AB90" s="26"/>
      <c r="AC90" s="26"/>
      <c r="AD90" s="26"/>
      <c r="AE90" s="26"/>
      <c r="AF90" s="26"/>
      <c r="AG90" s="23"/>
      <c r="AH90" s="23"/>
      <c r="AI90" s="23"/>
      <c r="AJ90" s="23"/>
      <c r="AK90" s="23"/>
      <c r="AL90" s="23"/>
      <c r="AM90" s="26"/>
      <c r="AN90" s="26"/>
      <c r="AO90" s="26"/>
      <c r="AP90" s="26"/>
      <c r="AQ90" s="23"/>
      <c r="AR90" s="23"/>
      <c r="AS90" s="23"/>
      <c r="AT90" s="23"/>
      <c r="AU90" s="26"/>
      <c r="AV90" s="26"/>
      <c r="AW90" s="26"/>
      <c r="AX90" s="26"/>
      <c r="AY90" s="26"/>
      <c r="AZ90" s="26"/>
      <c r="BA90" s="26"/>
      <c r="BB90" s="26"/>
      <c r="BC90" s="22"/>
      <c r="BD90" s="23"/>
      <c r="BE90" s="23"/>
      <c r="BF90" s="22"/>
      <c r="BG90" s="22"/>
      <c r="BH90" s="23"/>
      <c r="BI90" s="23"/>
      <c r="BJ90" s="22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3"/>
      <c r="CI90" s="23"/>
      <c r="CJ90" s="22"/>
      <c r="CK90" s="22"/>
      <c r="CM90" s="22"/>
      <c r="CN90" s="23"/>
      <c r="CO90" s="22"/>
    </row>
    <row r="91">
      <c r="A91" s="22" t="s">
        <v>33</v>
      </c>
      <c r="B91" s="22" t="s">
        <v>33</v>
      </c>
      <c r="C91" s="22" t="s">
        <v>19</v>
      </c>
      <c r="D91" s="22" t="s">
        <v>19</v>
      </c>
      <c r="E91" s="23">
        <v>1.0</v>
      </c>
      <c r="F91" s="23">
        <v>1.711466</v>
      </c>
      <c r="G91" s="22"/>
      <c r="H91" s="26"/>
      <c r="I91" s="26"/>
      <c r="J91" s="26"/>
      <c r="K91" s="26"/>
      <c r="L91" s="23"/>
      <c r="M91" s="23"/>
      <c r="N91" s="23"/>
      <c r="O91" s="23"/>
      <c r="P91" s="26"/>
      <c r="Q91" s="26"/>
      <c r="R91" s="26"/>
      <c r="S91" s="26"/>
      <c r="T91" s="26"/>
      <c r="U91" s="26"/>
      <c r="V91" s="26"/>
      <c r="W91" s="26"/>
      <c r="X91" s="23"/>
      <c r="Y91" s="26"/>
      <c r="Z91" s="26"/>
      <c r="AA91" s="26"/>
      <c r="AB91" s="26"/>
      <c r="AC91" s="26"/>
      <c r="AD91" s="26"/>
      <c r="AE91" s="26"/>
      <c r="AF91" s="26"/>
      <c r="AG91" s="23"/>
      <c r="AH91" s="23"/>
      <c r="AI91" s="23"/>
      <c r="AJ91" s="23"/>
      <c r="AK91" s="23"/>
      <c r="AL91" s="23"/>
      <c r="AM91" s="26"/>
      <c r="AN91" s="26"/>
      <c r="AO91" s="26"/>
      <c r="AP91" s="26"/>
      <c r="AQ91" s="23"/>
      <c r="AR91" s="23"/>
      <c r="AS91" s="23"/>
      <c r="AT91" s="23"/>
      <c r="AU91" s="26"/>
      <c r="AV91" s="26"/>
      <c r="AW91" s="26"/>
      <c r="AX91" s="26"/>
      <c r="AY91" s="26"/>
      <c r="AZ91" s="26"/>
      <c r="BA91" s="26"/>
      <c r="BB91" s="26"/>
      <c r="BC91" s="22"/>
      <c r="BD91" s="23"/>
      <c r="BE91" s="23"/>
      <c r="BF91" s="22"/>
      <c r="BG91" s="22"/>
      <c r="BH91" s="23"/>
      <c r="BI91" s="23"/>
      <c r="BJ91" s="22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3"/>
      <c r="CI91" s="23"/>
      <c r="CJ91" s="22"/>
      <c r="CK91" s="22"/>
      <c r="CM91" s="22"/>
      <c r="CN91" s="23"/>
      <c r="CO91" s="22"/>
    </row>
    <row r="92">
      <c r="A92" s="22" t="s">
        <v>33</v>
      </c>
      <c r="B92" s="22" t="s">
        <v>33</v>
      </c>
      <c r="C92" s="22" t="s">
        <v>19</v>
      </c>
      <c r="D92" s="22" t="s">
        <v>19</v>
      </c>
      <c r="E92" s="23">
        <v>1.0</v>
      </c>
      <c r="F92" s="23">
        <v>1.207413</v>
      </c>
      <c r="G92" s="22"/>
      <c r="H92" s="26"/>
      <c r="I92" s="26"/>
      <c r="J92" s="26"/>
      <c r="K92" s="26"/>
      <c r="L92" s="23"/>
      <c r="M92" s="23"/>
      <c r="N92" s="23"/>
      <c r="O92" s="23"/>
      <c r="P92" s="26"/>
      <c r="Q92" s="26"/>
      <c r="R92" s="26"/>
      <c r="S92" s="26"/>
      <c r="T92" s="26"/>
      <c r="U92" s="26"/>
      <c r="V92" s="26"/>
      <c r="W92" s="26"/>
      <c r="X92" s="23"/>
      <c r="Y92" s="26"/>
      <c r="Z92" s="26"/>
      <c r="AA92" s="26"/>
      <c r="AB92" s="26"/>
      <c r="AC92" s="26"/>
      <c r="AD92" s="26"/>
      <c r="AE92" s="26"/>
      <c r="AF92" s="26"/>
      <c r="AG92" s="23"/>
      <c r="AH92" s="23"/>
      <c r="AI92" s="23"/>
      <c r="AJ92" s="23"/>
      <c r="AK92" s="23"/>
      <c r="AL92" s="23"/>
      <c r="AM92" s="26"/>
      <c r="AN92" s="26"/>
      <c r="AO92" s="26"/>
      <c r="AP92" s="26"/>
      <c r="AQ92" s="23"/>
      <c r="AR92" s="23"/>
      <c r="AS92" s="23"/>
      <c r="AT92" s="23"/>
      <c r="AU92" s="26"/>
      <c r="AV92" s="26"/>
      <c r="AW92" s="26"/>
      <c r="AX92" s="26"/>
      <c r="AY92" s="26"/>
      <c r="AZ92" s="26"/>
      <c r="BA92" s="26"/>
      <c r="BB92" s="26"/>
      <c r="BC92" s="22"/>
      <c r="BD92" s="23"/>
      <c r="BE92" s="23"/>
      <c r="BF92" s="22"/>
      <c r="BG92" s="22"/>
      <c r="BH92" s="23"/>
      <c r="BI92" s="23"/>
      <c r="BJ92" s="22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3"/>
      <c r="CI92" s="23"/>
      <c r="CJ92" s="22"/>
      <c r="CK92" s="22"/>
      <c r="CM92" s="22"/>
      <c r="CN92" s="23"/>
      <c r="CO92" s="22"/>
    </row>
    <row r="93">
      <c r="A93" s="22" t="s">
        <v>33</v>
      </c>
      <c r="B93" s="22" t="s">
        <v>33</v>
      </c>
      <c r="C93" s="22" t="s">
        <v>19</v>
      </c>
      <c r="D93" s="22" t="s">
        <v>19</v>
      </c>
      <c r="E93" s="23">
        <v>1.0</v>
      </c>
      <c r="F93" s="23">
        <v>0.53637</v>
      </c>
      <c r="G93" s="22"/>
      <c r="H93" s="26"/>
      <c r="I93" s="26"/>
      <c r="J93" s="26"/>
      <c r="K93" s="26"/>
      <c r="L93" s="23"/>
      <c r="M93" s="23"/>
      <c r="N93" s="23"/>
      <c r="O93" s="23"/>
      <c r="P93" s="26"/>
      <c r="Q93" s="26"/>
      <c r="R93" s="26"/>
      <c r="S93" s="26"/>
      <c r="T93" s="26"/>
      <c r="U93" s="26"/>
      <c r="V93" s="26"/>
      <c r="W93" s="26"/>
      <c r="X93" s="23"/>
      <c r="Y93" s="26"/>
      <c r="Z93" s="26"/>
      <c r="AA93" s="26"/>
      <c r="AB93" s="26"/>
      <c r="AC93" s="26"/>
      <c r="AD93" s="26"/>
      <c r="AE93" s="26"/>
      <c r="AF93" s="26"/>
      <c r="AG93" s="23"/>
      <c r="AH93" s="23"/>
      <c r="AI93" s="23"/>
      <c r="AJ93" s="23"/>
      <c r="AK93" s="23"/>
      <c r="AL93" s="23"/>
      <c r="AM93" s="26"/>
      <c r="AN93" s="26"/>
      <c r="AO93" s="26"/>
      <c r="AP93" s="26"/>
      <c r="AQ93" s="23"/>
      <c r="AR93" s="23"/>
      <c r="AS93" s="23"/>
      <c r="AT93" s="23"/>
      <c r="AU93" s="26"/>
      <c r="AV93" s="26"/>
      <c r="AW93" s="26"/>
      <c r="AX93" s="26"/>
      <c r="AY93" s="26"/>
      <c r="AZ93" s="26"/>
      <c r="BA93" s="26"/>
      <c r="BB93" s="26"/>
      <c r="BC93" s="22"/>
      <c r="BD93" s="23"/>
      <c r="BE93" s="23"/>
      <c r="BF93" s="22"/>
      <c r="BG93" s="22"/>
      <c r="BH93" s="23"/>
      <c r="BI93" s="23"/>
      <c r="BJ93" s="22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3"/>
      <c r="CI93" s="23"/>
      <c r="CJ93" s="22"/>
      <c r="CK93" s="22"/>
      <c r="CM93" s="22"/>
      <c r="CN93" s="23"/>
      <c r="CO93" s="22"/>
    </row>
    <row r="94">
      <c r="A94" s="22" t="s">
        <v>33</v>
      </c>
      <c r="B94" s="22" t="s">
        <v>33</v>
      </c>
      <c r="C94" s="22" t="s">
        <v>19</v>
      </c>
      <c r="D94" s="22" t="s">
        <v>19</v>
      </c>
      <c r="E94" s="23">
        <v>1.0</v>
      </c>
      <c r="F94" s="23">
        <v>0.491055</v>
      </c>
      <c r="G94" s="22"/>
      <c r="H94" s="26"/>
      <c r="I94" s="26"/>
      <c r="J94" s="26"/>
      <c r="K94" s="26"/>
      <c r="L94" s="23"/>
      <c r="M94" s="23"/>
      <c r="N94" s="23"/>
      <c r="O94" s="23"/>
      <c r="P94" s="26"/>
      <c r="Q94" s="26"/>
      <c r="R94" s="26"/>
      <c r="S94" s="26"/>
      <c r="T94" s="26"/>
      <c r="U94" s="26"/>
      <c r="V94" s="26"/>
      <c r="W94" s="26"/>
      <c r="X94" s="23"/>
      <c r="Y94" s="26"/>
      <c r="Z94" s="26"/>
      <c r="AA94" s="26"/>
      <c r="AB94" s="26"/>
      <c r="AC94" s="26"/>
      <c r="AD94" s="26"/>
      <c r="AE94" s="26"/>
      <c r="AF94" s="26"/>
      <c r="AG94" s="23"/>
      <c r="AH94" s="23"/>
      <c r="AI94" s="23"/>
      <c r="AJ94" s="23"/>
      <c r="AK94" s="23"/>
      <c r="AL94" s="23"/>
      <c r="AM94" s="26"/>
      <c r="AN94" s="26"/>
      <c r="AO94" s="26"/>
      <c r="AP94" s="26"/>
      <c r="AQ94" s="23"/>
      <c r="AR94" s="23"/>
      <c r="AS94" s="23"/>
      <c r="AT94" s="23"/>
      <c r="AU94" s="26"/>
      <c r="AV94" s="26"/>
      <c r="AW94" s="26"/>
      <c r="AX94" s="26"/>
      <c r="AY94" s="26"/>
      <c r="AZ94" s="26"/>
      <c r="BA94" s="26"/>
      <c r="BB94" s="26"/>
      <c r="BC94" s="22"/>
      <c r="BD94" s="23"/>
      <c r="BE94" s="23"/>
      <c r="BF94" s="22"/>
      <c r="BG94" s="22"/>
      <c r="BH94" s="23"/>
      <c r="BI94" s="23"/>
      <c r="BJ94" s="22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3"/>
      <c r="CI94" s="23"/>
      <c r="CJ94" s="22"/>
      <c r="CK94" s="22"/>
      <c r="CM94" s="22"/>
      <c r="CN94" s="23"/>
      <c r="CO94" s="22"/>
    </row>
    <row r="95">
      <c r="A95" s="22" t="s">
        <v>33</v>
      </c>
      <c r="B95" s="22" t="s">
        <v>33</v>
      </c>
      <c r="C95" s="22" t="s">
        <v>19</v>
      </c>
      <c r="D95" s="22" t="s">
        <v>19</v>
      </c>
      <c r="E95" s="23">
        <v>1.0</v>
      </c>
      <c r="F95" s="23">
        <v>0.453647</v>
      </c>
      <c r="G95" s="22"/>
      <c r="H95" s="26"/>
      <c r="I95" s="26"/>
      <c r="J95" s="26"/>
      <c r="K95" s="26"/>
      <c r="L95" s="23"/>
      <c r="M95" s="23"/>
      <c r="N95" s="23"/>
      <c r="O95" s="23"/>
      <c r="P95" s="26"/>
      <c r="Q95" s="26"/>
      <c r="R95" s="26"/>
      <c r="S95" s="26"/>
      <c r="T95" s="26"/>
      <c r="U95" s="26"/>
      <c r="V95" s="26"/>
      <c r="W95" s="26"/>
      <c r="X95" s="23"/>
      <c r="Y95" s="26"/>
      <c r="Z95" s="26"/>
      <c r="AA95" s="26"/>
      <c r="AB95" s="26"/>
      <c r="AC95" s="26"/>
      <c r="AD95" s="26"/>
      <c r="AE95" s="26"/>
      <c r="AF95" s="26"/>
      <c r="AG95" s="23"/>
      <c r="AH95" s="23"/>
      <c r="AI95" s="23"/>
      <c r="AJ95" s="23"/>
      <c r="AK95" s="23"/>
      <c r="AL95" s="23"/>
      <c r="AM95" s="26"/>
      <c r="AN95" s="26"/>
      <c r="AO95" s="26"/>
      <c r="AP95" s="26"/>
      <c r="AQ95" s="23"/>
      <c r="AR95" s="23"/>
      <c r="AS95" s="23"/>
      <c r="AT95" s="23"/>
      <c r="AU95" s="26"/>
      <c r="AV95" s="26"/>
      <c r="AW95" s="26"/>
      <c r="AX95" s="26"/>
      <c r="AY95" s="26"/>
      <c r="AZ95" s="26"/>
      <c r="BA95" s="26"/>
      <c r="BB95" s="26"/>
      <c r="BC95" s="22"/>
      <c r="BD95" s="23"/>
      <c r="BE95" s="23"/>
      <c r="BF95" s="22"/>
      <c r="BG95" s="22"/>
      <c r="BH95" s="23"/>
      <c r="BI95" s="23"/>
      <c r="BJ95" s="22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3"/>
      <c r="CI95" s="23"/>
      <c r="CJ95" s="22"/>
      <c r="CK95" s="22"/>
      <c r="CM95" s="22"/>
      <c r="CN95" s="23"/>
      <c r="CO95" s="22"/>
    </row>
    <row r="96">
      <c r="A96" s="22" t="s">
        <v>33</v>
      </c>
      <c r="B96" s="22" t="s">
        <v>33</v>
      </c>
      <c r="C96" s="22" t="s">
        <v>19</v>
      </c>
      <c r="D96" s="22" t="s">
        <v>19</v>
      </c>
      <c r="E96" s="23">
        <v>1.0</v>
      </c>
      <c r="F96" s="23">
        <v>0.57367</v>
      </c>
      <c r="G96" s="22"/>
      <c r="H96" s="26"/>
      <c r="I96" s="26"/>
      <c r="J96" s="26"/>
      <c r="K96" s="26"/>
      <c r="L96" s="23"/>
      <c r="M96" s="23"/>
      <c r="N96" s="23"/>
      <c r="O96" s="23"/>
      <c r="P96" s="26"/>
      <c r="Q96" s="26"/>
      <c r="R96" s="26"/>
      <c r="S96" s="26"/>
      <c r="T96" s="26"/>
      <c r="U96" s="26"/>
      <c r="V96" s="26"/>
      <c r="W96" s="26"/>
      <c r="X96" s="23"/>
      <c r="Y96" s="26"/>
      <c r="Z96" s="26"/>
      <c r="AA96" s="26"/>
      <c r="AB96" s="26"/>
      <c r="AC96" s="26"/>
      <c r="AD96" s="26"/>
      <c r="AE96" s="26"/>
      <c r="AF96" s="26"/>
      <c r="AG96" s="23"/>
      <c r="AH96" s="23"/>
      <c r="AI96" s="23"/>
      <c r="AJ96" s="23"/>
      <c r="AK96" s="23"/>
      <c r="AL96" s="23"/>
      <c r="AM96" s="26"/>
      <c r="AN96" s="26"/>
      <c r="AO96" s="26"/>
      <c r="AP96" s="26"/>
      <c r="AQ96" s="23"/>
      <c r="AR96" s="23"/>
      <c r="AS96" s="23"/>
      <c r="AT96" s="23"/>
      <c r="AU96" s="26"/>
      <c r="AV96" s="26"/>
      <c r="AW96" s="26"/>
      <c r="AX96" s="26"/>
      <c r="AY96" s="26"/>
      <c r="AZ96" s="26"/>
      <c r="BA96" s="26"/>
      <c r="BB96" s="26"/>
      <c r="BC96" s="22"/>
      <c r="BD96" s="23"/>
      <c r="BE96" s="23"/>
      <c r="BF96" s="22"/>
      <c r="BG96" s="22"/>
      <c r="BH96" s="23"/>
      <c r="BI96" s="23"/>
      <c r="BJ96" s="22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3"/>
      <c r="CI96" s="23"/>
      <c r="CJ96" s="22"/>
      <c r="CK96" s="22"/>
      <c r="CM96" s="22"/>
      <c r="CN96" s="23"/>
      <c r="CO96" s="22"/>
    </row>
    <row r="97">
      <c r="A97" s="22" t="s">
        <v>33</v>
      </c>
      <c r="B97" s="22" t="s">
        <v>33</v>
      </c>
      <c r="C97" s="22" t="s">
        <v>19</v>
      </c>
      <c r="D97" s="22" t="s">
        <v>19</v>
      </c>
      <c r="E97" s="23">
        <v>1.0</v>
      </c>
      <c r="F97" s="23">
        <v>0.692994</v>
      </c>
      <c r="G97" s="22"/>
      <c r="H97" s="26"/>
      <c r="I97" s="26"/>
      <c r="J97" s="26"/>
      <c r="K97" s="26"/>
      <c r="L97" s="23"/>
      <c r="M97" s="23"/>
      <c r="N97" s="23"/>
      <c r="O97" s="23"/>
      <c r="P97" s="26"/>
      <c r="Q97" s="26"/>
      <c r="R97" s="26"/>
      <c r="S97" s="26"/>
      <c r="T97" s="26"/>
      <c r="U97" s="26"/>
      <c r="V97" s="26"/>
      <c r="W97" s="26"/>
      <c r="X97" s="23"/>
      <c r="Y97" s="26"/>
      <c r="Z97" s="26"/>
      <c r="AA97" s="26"/>
      <c r="AB97" s="26"/>
      <c r="AC97" s="26"/>
      <c r="AD97" s="26"/>
      <c r="AE97" s="26"/>
      <c r="AF97" s="26"/>
      <c r="AG97" s="23"/>
      <c r="AH97" s="23"/>
      <c r="AI97" s="23"/>
      <c r="AJ97" s="23"/>
      <c r="AK97" s="23"/>
      <c r="AL97" s="23"/>
      <c r="AM97" s="26"/>
      <c r="AN97" s="26"/>
      <c r="AO97" s="26"/>
      <c r="AP97" s="26"/>
      <c r="AQ97" s="23"/>
      <c r="AR97" s="23"/>
      <c r="AS97" s="23"/>
      <c r="AT97" s="23"/>
      <c r="AU97" s="26"/>
      <c r="AV97" s="26"/>
      <c r="AW97" s="26"/>
      <c r="AX97" s="26"/>
      <c r="AY97" s="26"/>
      <c r="AZ97" s="26"/>
      <c r="BA97" s="26"/>
      <c r="BB97" s="26"/>
      <c r="BC97" s="22"/>
      <c r="BD97" s="23"/>
      <c r="BE97" s="23"/>
      <c r="BF97" s="22"/>
      <c r="BG97" s="22"/>
      <c r="BH97" s="23"/>
      <c r="BI97" s="23"/>
      <c r="BJ97" s="22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3"/>
      <c r="CI97" s="23"/>
      <c r="CJ97" s="22"/>
      <c r="CK97" s="22"/>
      <c r="CM97" s="22"/>
      <c r="CN97" s="23"/>
      <c r="CO97" s="22"/>
    </row>
    <row r="98">
      <c r="A98" s="22" t="s">
        <v>33</v>
      </c>
      <c r="B98" s="22" t="s">
        <v>33</v>
      </c>
      <c r="C98" s="22" t="s">
        <v>19</v>
      </c>
      <c r="D98" s="22" t="s">
        <v>19</v>
      </c>
      <c r="E98" s="23">
        <v>1.0</v>
      </c>
      <c r="F98" s="23">
        <v>2.106152</v>
      </c>
      <c r="G98" s="22"/>
      <c r="H98" s="26"/>
      <c r="I98" s="26"/>
      <c r="J98" s="26"/>
      <c r="K98" s="26"/>
      <c r="L98" s="23"/>
      <c r="M98" s="23"/>
      <c r="N98" s="23"/>
      <c r="O98" s="23"/>
      <c r="P98" s="26"/>
      <c r="Q98" s="26"/>
      <c r="R98" s="26"/>
      <c r="S98" s="26"/>
      <c r="T98" s="26"/>
      <c r="U98" s="26"/>
      <c r="V98" s="26"/>
      <c r="W98" s="26"/>
      <c r="X98" s="23"/>
      <c r="Y98" s="26"/>
      <c r="Z98" s="26"/>
      <c r="AA98" s="26"/>
      <c r="AB98" s="26"/>
      <c r="AC98" s="26"/>
      <c r="AD98" s="26"/>
      <c r="AE98" s="26"/>
      <c r="AF98" s="26"/>
      <c r="AG98" s="23"/>
      <c r="AH98" s="23"/>
      <c r="AI98" s="23"/>
      <c r="AJ98" s="23"/>
      <c r="AK98" s="23"/>
      <c r="AL98" s="23"/>
      <c r="AM98" s="26"/>
      <c r="AN98" s="26"/>
      <c r="AO98" s="26"/>
      <c r="AP98" s="26"/>
      <c r="AQ98" s="23"/>
      <c r="AR98" s="23"/>
      <c r="AS98" s="23"/>
      <c r="AT98" s="23"/>
      <c r="AU98" s="26"/>
      <c r="AV98" s="26"/>
      <c r="AW98" s="26"/>
      <c r="AX98" s="26"/>
      <c r="AY98" s="26"/>
      <c r="AZ98" s="26"/>
      <c r="BA98" s="26"/>
      <c r="BB98" s="26"/>
      <c r="BC98" s="22"/>
      <c r="BD98" s="23"/>
      <c r="BE98" s="23"/>
      <c r="BF98" s="22"/>
      <c r="BG98" s="22"/>
      <c r="BH98" s="23"/>
      <c r="BI98" s="23"/>
      <c r="BJ98" s="22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3"/>
      <c r="CI98" s="23"/>
      <c r="CJ98" s="22"/>
      <c r="CK98" s="22"/>
      <c r="CM98" s="22"/>
      <c r="CN98" s="23"/>
      <c r="CO98" s="22"/>
    </row>
    <row r="99">
      <c r="A99" s="22" t="s">
        <v>33</v>
      </c>
      <c r="B99" s="22" t="s">
        <v>33</v>
      </c>
      <c r="C99" s="22" t="s">
        <v>19</v>
      </c>
      <c r="D99" s="22" t="s">
        <v>19</v>
      </c>
      <c r="E99" s="23">
        <v>1.0</v>
      </c>
      <c r="F99" s="23">
        <v>0.417139</v>
      </c>
      <c r="G99" s="22"/>
      <c r="H99" s="26"/>
      <c r="I99" s="26"/>
      <c r="J99" s="26"/>
      <c r="K99" s="26"/>
      <c r="L99" s="23"/>
      <c r="M99" s="23"/>
      <c r="N99" s="23"/>
      <c r="O99" s="23"/>
      <c r="P99" s="26"/>
      <c r="Q99" s="26"/>
      <c r="R99" s="26"/>
      <c r="S99" s="26"/>
      <c r="T99" s="26"/>
      <c r="U99" s="26"/>
      <c r="V99" s="26"/>
      <c r="W99" s="26"/>
      <c r="X99" s="23"/>
      <c r="Y99" s="26"/>
      <c r="Z99" s="26"/>
      <c r="AA99" s="26"/>
      <c r="AB99" s="26"/>
      <c r="AC99" s="26"/>
      <c r="AD99" s="26"/>
      <c r="AE99" s="26"/>
      <c r="AF99" s="26"/>
      <c r="AG99" s="23"/>
      <c r="AH99" s="23"/>
      <c r="AI99" s="23"/>
      <c r="AJ99" s="23"/>
      <c r="AK99" s="23"/>
      <c r="AL99" s="23"/>
      <c r="AM99" s="26"/>
      <c r="AN99" s="26"/>
      <c r="AO99" s="26"/>
      <c r="AP99" s="26"/>
      <c r="AQ99" s="23"/>
      <c r="AR99" s="23"/>
      <c r="AS99" s="23"/>
      <c r="AT99" s="23"/>
      <c r="AU99" s="26"/>
      <c r="AV99" s="26"/>
      <c r="AW99" s="26"/>
      <c r="AX99" s="26"/>
      <c r="AY99" s="26"/>
      <c r="AZ99" s="26"/>
      <c r="BA99" s="26"/>
      <c r="BB99" s="26"/>
      <c r="BC99" s="22"/>
      <c r="BD99" s="23"/>
      <c r="BE99" s="23"/>
      <c r="BF99" s="22"/>
      <c r="BG99" s="22"/>
      <c r="BH99" s="23"/>
      <c r="BI99" s="23"/>
      <c r="BJ99" s="22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3"/>
      <c r="CI99" s="23"/>
      <c r="CJ99" s="22"/>
      <c r="CK99" s="22"/>
      <c r="CM99" s="22"/>
      <c r="CN99" s="23"/>
      <c r="CO99" s="22"/>
    </row>
    <row r="100">
      <c r="A100" s="22" t="s">
        <v>33</v>
      </c>
      <c r="B100" s="22" t="s">
        <v>33</v>
      </c>
      <c r="C100" s="22" t="s">
        <v>19</v>
      </c>
      <c r="D100" s="22" t="s">
        <v>19</v>
      </c>
      <c r="E100" s="23">
        <v>1.0</v>
      </c>
      <c r="F100" s="23">
        <v>0.53042</v>
      </c>
      <c r="G100" s="22"/>
      <c r="H100" s="26"/>
      <c r="I100" s="26"/>
      <c r="J100" s="26"/>
      <c r="K100" s="26"/>
      <c r="L100" s="23"/>
      <c r="M100" s="23"/>
      <c r="N100" s="23"/>
      <c r="O100" s="23"/>
      <c r="P100" s="26"/>
      <c r="Q100" s="26"/>
      <c r="R100" s="26"/>
      <c r="S100" s="26"/>
      <c r="T100" s="26"/>
      <c r="U100" s="26"/>
      <c r="V100" s="26"/>
      <c r="W100" s="26"/>
      <c r="X100" s="23"/>
      <c r="Y100" s="26"/>
      <c r="Z100" s="26"/>
      <c r="AA100" s="26"/>
      <c r="AB100" s="26"/>
      <c r="AC100" s="26"/>
      <c r="AD100" s="26"/>
      <c r="AE100" s="26"/>
      <c r="AF100" s="26"/>
      <c r="AG100" s="23"/>
      <c r="AH100" s="23"/>
      <c r="AI100" s="23"/>
      <c r="AJ100" s="23"/>
      <c r="AK100" s="23"/>
      <c r="AL100" s="23"/>
      <c r="AM100" s="26"/>
      <c r="AN100" s="26"/>
      <c r="AO100" s="26"/>
      <c r="AP100" s="26"/>
      <c r="AQ100" s="23"/>
      <c r="AR100" s="23"/>
      <c r="AS100" s="23"/>
      <c r="AT100" s="23"/>
      <c r="AU100" s="26"/>
      <c r="AV100" s="26"/>
      <c r="AW100" s="26"/>
      <c r="AX100" s="26"/>
      <c r="AY100" s="26"/>
      <c r="AZ100" s="26"/>
      <c r="BA100" s="26"/>
      <c r="BB100" s="26"/>
      <c r="BC100" s="22"/>
      <c r="BD100" s="23"/>
      <c r="BE100" s="23"/>
      <c r="BF100" s="22"/>
      <c r="BG100" s="22"/>
      <c r="BH100" s="23"/>
      <c r="BI100" s="23"/>
      <c r="BJ100" s="22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3"/>
      <c r="CI100" s="23"/>
      <c r="CJ100" s="22"/>
      <c r="CK100" s="22"/>
      <c r="CM100" s="22"/>
      <c r="CN100" s="23"/>
      <c r="CO100" s="22"/>
    </row>
    <row r="101">
      <c r="A101" s="22" t="s">
        <v>33</v>
      </c>
      <c r="B101" s="22" t="s">
        <v>33</v>
      </c>
      <c r="C101" s="22" t="s">
        <v>19</v>
      </c>
      <c r="D101" s="22" t="s">
        <v>19</v>
      </c>
      <c r="E101" s="23">
        <v>1.0</v>
      </c>
      <c r="F101" s="23">
        <v>0.690552</v>
      </c>
      <c r="G101" s="22"/>
      <c r="H101" s="26"/>
      <c r="I101" s="26"/>
      <c r="J101" s="26"/>
      <c r="K101" s="26"/>
      <c r="L101" s="23"/>
      <c r="M101" s="23"/>
      <c r="N101" s="23"/>
      <c r="O101" s="23"/>
      <c r="P101" s="26"/>
      <c r="Q101" s="26"/>
      <c r="R101" s="26"/>
      <c r="S101" s="26"/>
      <c r="T101" s="26"/>
      <c r="U101" s="26"/>
      <c r="V101" s="26"/>
      <c r="W101" s="26"/>
      <c r="X101" s="23"/>
      <c r="Y101" s="26"/>
      <c r="Z101" s="26"/>
      <c r="AA101" s="26"/>
      <c r="AB101" s="26"/>
      <c r="AC101" s="26"/>
      <c r="AD101" s="26"/>
      <c r="AE101" s="26"/>
      <c r="AF101" s="26"/>
      <c r="AG101" s="23"/>
      <c r="AH101" s="23"/>
      <c r="AI101" s="23"/>
      <c r="AJ101" s="23"/>
      <c r="AK101" s="23"/>
      <c r="AL101" s="23"/>
      <c r="AM101" s="26"/>
      <c r="AN101" s="26"/>
      <c r="AO101" s="26"/>
      <c r="AP101" s="26"/>
      <c r="AQ101" s="23"/>
      <c r="AR101" s="23"/>
      <c r="AS101" s="23"/>
      <c r="AT101" s="23"/>
      <c r="AU101" s="26"/>
      <c r="AV101" s="26"/>
      <c r="AW101" s="26"/>
      <c r="AX101" s="26"/>
      <c r="AY101" s="26"/>
      <c r="AZ101" s="26"/>
      <c r="BA101" s="26"/>
      <c r="BB101" s="26"/>
      <c r="BC101" s="22"/>
      <c r="BD101" s="23"/>
      <c r="BE101" s="23"/>
      <c r="BF101" s="22"/>
      <c r="BG101" s="22"/>
      <c r="BH101" s="23"/>
      <c r="BI101" s="23"/>
      <c r="BJ101" s="22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3"/>
      <c r="CI101" s="23"/>
      <c r="CJ101" s="22"/>
      <c r="CK101" s="22"/>
      <c r="CM101" s="22"/>
      <c r="CN101" s="23"/>
      <c r="CO101" s="22"/>
    </row>
    <row r="102">
      <c r="A102" s="22" t="s">
        <v>33</v>
      </c>
      <c r="B102" s="22" t="s">
        <v>33</v>
      </c>
      <c r="C102" s="22" t="s">
        <v>19</v>
      </c>
      <c r="D102" s="22" t="s">
        <v>19</v>
      </c>
      <c r="E102" s="23">
        <v>1.0</v>
      </c>
      <c r="F102" s="23">
        <v>1.818459</v>
      </c>
      <c r="G102" s="22"/>
      <c r="H102" s="26"/>
      <c r="I102" s="26"/>
      <c r="J102" s="26"/>
      <c r="K102" s="26"/>
      <c r="L102" s="23"/>
      <c r="M102" s="23"/>
      <c r="N102" s="23"/>
      <c r="O102" s="23"/>
      <c r="P102" s="26"/>
      <c r="Q102" s="26"/>
      <c r="R102" s="26"/>
      <c r="S102" s="26"/>
      <c r="T102" s="26"/>
      <c r="U102" s="26"/>
      <c r="V102" s="26"/>
      <c r="W102" s="26"/>
      <c r="X102" s="23"/>
      <c r="Y102" s="26"/>
      <c r="Z102" s="26"/>
      <c r="AA102" s="26"/>
      <c r="AB102" s="26"/>
      <c r="AC102" s="26"/>
      <c r="AD102" s="26"/>
      <c r="AE102" s="26"/>
      <c r="AF102" s="26"/>
      <c r="AG102" s="23"/>
      <c r="AH102" s="23"/>
      <c r="AI102" s="23"/>
      <c r="AJ102" s="23"/>
      <c r="AK102" s="23"/>
      <c r="AL102" s="23"/>
      <c r="AM102" s="26"/>
      <c r="AN102" s="26"/>
      <c r="AO102" s="26"/>
      <c r="AP102" s="26"/>
      <c r="AQ102" s="23"/>
      <c r="AR102" s="23"/>
      <c r="AS102" s="23"/>
      <c r="AT102" s="23"/>
      <c r="AU102" s="26"/>
      <c r="AV102" s="26"/>
      <c r="AW102" s="26"/>
      <c r="AX102" s="26"/>
      <c r="AY102" s="26"/>
      <c r="AZ102" s="26"/>
      <c r="BA102" s="26"/>
      <c r="BB102" s="26"/>
      <c r="BC102" s="22"/>
      <c r="BD102" s="23"/>
      <c r="BE102" s="23"/>
      <c r="BF102" s="22"/>
      <c r="BG102" s="22"/>
      <c r="BH102" s="23"/>
      <c r="BI102" s="23"/>
      <c r="BJ102" s="22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3"/>
      <c r="CI102" s="23"/>
      <c r="CJ102" s="22"/>
      <c r="CK102" s="22"/>
      <c r="CM102" s="22"/>
      <c r="CN102" s="23"/>
      <c r="CO102" s="22"/>
    </row>
    <row r="103">
      <c r="A103" s="22" t="s">
        <v>33</v>
      </c>
      <c r="B103" s="22" t="s">
        <v>33</v>
      </c>
      <c r="C103" s="22" t="s">
        <v>19</v>
      </c>
      <c r="D103" s="22" t="s">
        <v>19</v>
      </c>
      <c r="E103" s="23">
        <v>1.0</v>
      </c>
      <c r="F103" s="23">
        <v>0.464183</v>
      </c>
      <c r="G103" s="22"/>
      <c r="H103" s="26"/>
      <c r="I103" s="26"/>
      <c r="J103" s="26"/>
      <c r="K103" s="26"/>
      <c r="L103" s="23"/>
      <c r="M103" s="23"/>
      <c r="N103" s="23"/>
      <c r="O103" s="23"/>
      <c r="P103" s="26"/>
      <c r="Q103" s="26"/>
      <c r="R103" s="26"/>
      <c r="S103" s="26"/>
      <c r="T103" s="26"/>
      <c r="U103" s="26"/>
      <c r="V103" s="26"/>
      <c r="W103" s="26"/>
      <c r="X103" s="23"/>
      <c r="Y103" s="26"/>
      <c r="Z103" s="26"/>
      <c r="AA103" s="26"/>
      <c r="AB103" s="26"/>
      <c r="AC103" s="26"/>
      <c r="AD103" s="26"/>
      <c r="AE103" s="26"/>
      <c r="AF103" s="26"/>
      <c r="AG103" s="23"/>
      <c r="AH103" s="23"/>
      <c r="AI103" s="23"/>
      <c r="AJ103" s="23"/>
      <c r="AK103" s="23"/>
      <c r="AL103" s="23"/>
      <c r="AM103" s="26"/>
      <c r="AN103" s="26"/>
      <c r="AO103" s="26"/>
      <c r="AP103" s="26"/>
      <c r="AQ103" s="23"/>
      <c r="AR103" s="23"/>
      <c r="AS103" s="23"/>
      <c r="AT103" s="23"/>
      <c r="AU103" s="26"/>
      <c r="AV103" s="26"/>
      <c r="AW103" s="26"/>
      <c r="AX103" s="26"/>
      <c r="AY103" s="26"/>
      <c r="AZ103" s="26"/>
      <c r="BA103" s="26"/>
      <c r="BB103" s="26"/>
      <c r="BC103" s="22"/>
      <c r="BD103" s="23"/>
      <c r="BE103" s="23"/>
      <c r="BF103" s="22"/>
      <c r="BG103" s="22"/>
      <c r="BH103" s="23"/>
      <c r="BI103" s="23"/>
      <c r="BJ103" s="22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3"/>
      <c r="CI103" s="23"/>
      <c r="CJ103" s="22"/>
      <c r="CK103" s="22"/>
      <c r="CM103" s="22"/>
      <c r="CN103" s="23"/>
      <c r="CO103" s="22"/>
    </row>
    <row r="104">
      <c r="A104" s="22" t="s">
        <v>33</v>
      </c>
      <c r="B104" s="22" t="s">
        <v>33</v>
      </c>
      <c r="C104" s="22" t="s">
        <v>19</v>
      </c>
      <c r="D104" s="22" t="s">
        <v>19</v>
      </c>
      <c r="E104" s="23">
        <v>1.0</v>
      </c>
      <c r="F104" s="23">
        <v>0.560748</v>
      </c>
      <c r="G104" s="22"/>
      <c r="H104" s="26"/>
      <c r="I104" s="26"/>
      <c r="J104" s="26"/>
      <c r="K104" s="26"/>
      <c r="L104" s="23"/>
      <c r="M104" s="23"/>
      <c r="N104" s="23"/>
      <c r="O104" s="23"/>
      <c r="P104" s="26"/>
      <c r="Q104" s="26"/>
      <c r="R104" s="26"/>
      <c r="S104" s="26"/>
      <c r="T104" s="26"/>
      <c r="U104" s="26"/>
      <c r="V104" s="26"/>
      <c r="W104" s="26"/>
      <c r="X104" s="23"/>
      <c r="Y104" s="26"/>
      <c r="Z104" s="26"/>
      <c r="AA104" s="26"/>
      <c r="AB104" s="26"/>
      <c r="AC104" s="26"/>
      <c r="AD104" s="26"/>
      <c r="AE104" s="26"/>
      <c r="AF104" s="26"/>
      <c r="AG104" s="23"/>
      <c r="AH104" s="23"/>
      <c r="AI104" s="23"/>
      <c r="AJ104" s="23"/>
      <c r="AK104" s="23"/>
      <c r="AL104" s="23"/>
      <c r="AM104" s="26"/>
      <c r="AN104" s="26"/>
      <c r="AO104" s="26"/>
      <c r="AP104" s="26"/>
      <c r="AQ104" s="23"/>
      <c r="AR104" s="23"/>
      <c r="AS104" s="23"/>
      <c r="AT104" s="23"/>
      <c r="AU104" s="26"/>
      <c r="AV104" s="26"/>
      <c r="AW104" s="26"/>
      <c r="AX104" s="26"/>
      <c r="AY104" s="26"/>
      <c r="AZ104" s="26"/>
      <c r="BA104" s="26"/>
      <c r="BB104" s="26"/>
      <c r="BC104" s="22"/>
      <c r="BD104" s="23"/>
      <c r="BE104" s="23"/>
      <c r="BF104" s="22"/>
      <c r="BG104" s="22"/>
      <c r="BH104" s="23"/>
      <c r="BI104" s="23"/>
      <c r="BJ104" s="22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3"/>
      <c r="CI104" s="23"/>
      <c r="CJ104" s="22"/>
      <c r="CK104" s="22"/>
      <c r="CM104" s="22"/>
      <c r="CN104" s="23"/>
      <c r="CO104" s="22"/>
    </row>
    <row r="105">
      <c r="A105" s="22" t="s">
        <v>33</v>
      </c>
      <c r="B105" s="22" t="s">
        <v>33</v>
      </c>
      <c r="C105" s="22" t="s">
        <v>19</v>
      </c>
      <c r="D105" s="22" t="s">
        <v>19</v>
      </c>
      <c r="E105" s="23">
        <v>1.0</v>
      </c>
      <c r="F105" s="23">
        <v>0.562351</v>
      </c>
      <c r="G105" s="22"/>
      <c r="H105" s="26"/>
      <c r="I105" s="26"/>
      <c r="J105" s="26"/>
      <c r="K105" s="26"/>
      <c r="L105" s="23"/>
      <c r="M105" s="23"/>
      <c r="N105" s="23"/>
      <c r="O105" s="23"/>
      <c r="P105" s="26"/>
      <c r="Q105" s="26"/>
      <c r="R105" s="26"/>
      <c r="S105" s="26"/>
      <c r="T105" s="26"/>
      <c r="U105" s="26"/>
      <c r="V105" s="26"/>
      <c r="W105" s="26"/>
      <c r="X105" s="23"/>
      <c r="Y105" s="26"/>
      <c r="Z105" s="26"/>
      <c r="AA105" s="26"/>
      <c r="AB105" s="26"/>
      <c r="AC105" s="26"/>
      <c r="AD105" s="26"/>
      <c r="AE105" s="26"/>
      <c r="AF105" s="26"/>
      <c r="AG105" s="23"/>
      <c r="AH105" s="23"/>
      <c r="AI105" s="23"/>
      <c r="AJ105" s="23"/>
      <c r="AK105" s="23"/>
      <c r="AL105" s="23"/>
      <c r="AM105" s="26"/>
      <c r="AN105" s="26"/>
      <c r="AO105" s="26"/>
      <c r="AP105" s="26"/>
      <c r="AQ105" s="23"/>
      <c r="AR105" s="23"/>
      <c r="AS105" s="23"/>
      <c r="AT105" s="23"/>
      <c r="AU105" s="26"/>
      <c r="AV105" s="26"/>
      <c r="AW105" s="26"/>
      <c r="AX105" s="26"/>
      <c r="AY105" s="26"/>
      <c r="AZ105" s="26"/>
      <c r="BA105" s="26"/>
      <c r="BB105" s="26"/>
      <c r="BC105" s="22"/>
      <c r="BD105" s="23"/>
      <c r="BE105" s="23"/>
      <c r="BF105" s="22"/>
      <c r="BG105" s="22"/>
      <c r="BH105" s="23"/>
      <c r="BI105" s="23"/>
      <c r="BJ105" s="22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3"/>
      <c r="CI105" s="23"/>
      <c r="CJ105" s="22"/>
      <c r="CK105" s="22"/>
      <c r="CM105" s="22"/>
      <c r="CN105" s="23"/>
      <c r="CO105" s="22"/>
    </row>
    <row r="106">
      <c r="A106" s="22" t="s">
        <v>33</v>
      </c>
      <c r="B106" s="22" t="s">
        <v>33</v>
      </c>
      <c r="C106" s="22" t="s">
        <v>19</v>
      </c>
      <c r="D106" s="22" t="s">
        <v>19</v>
      </c>
      <c r="E106" s="23">
        <v>1.0</v>
      </c>
      <c r="F106" s="23">
        <v>0.510058</v>
      </c>
      <c r="G106" s="22"/>
      <c r="H106" s="26"/>
      <c r="I106" s="26"/>
      <c r="J106" s="26"/>
      <c r="K106" s="26"/>
      <c r="L106" s="23"/>
      <c r="M106" s="23"/>
      <c r="N106" s="23"/>
      <c r="O106" s="23"/>
      <c r="P106" s="26"/>
      <c r="Q106" s="26"/>
      <c r="R106" s="26"/>
      <c r="S106" s="26"/>
      <c r="T106" s="26"/>
      <c r="U106" s="26"/>
      <c r="V106" s="26"/>
      <c r="W106" s="26"/>
      <c r="X106" s="23"/>
      <c r="Y106" s="26"/>
      <c r="Z106" s="26"/>
      <c r="AA106" s="26"/>
      <c r="AB106" s="26"/>
      <c r="AC106" s="26"/>
      <c r="AD106" s="26"/>
      <c r="AE106" s="26"/>
      <c r="AF106" s="26"/>
      <c r="AG106" s="23"/>
      <c r="AH106" s="23"/>
      <c r="AI106" s="23"/>
      <c r="AJ106" s="23"/>
      <c r="AK106" s="23"/>
      <c r="AL106" s="23"/>
      <c r="AM106" s="26"/>
      <c r="AN106" s="26"/>
      <c r="AO106" s="26"/>
      <c r="AP106" s="26"/>
      <c r="AQ106" s="23"/>
      <c r="AR106" s="23"/>
      <c r="AS106" s="23"/>
      <c r="AT106" s="23"/>
      <c r="AU106" s="26"/>
      <c r="AV106" s="26"/>
      <c r="AW106" s="26"/>
      <c r="AX106" s="26"/>
      <c r="AY106" s="26"/>
      <c r="AZ106" s="26"/>
      <c r="BA106" s="26"/>
      <c r="BB106" s="26"/>
      <c r="BC106" s="22"/>
      <c r="BD106" s="23"/>
      <c r="BE106" s="23"/>
      <c r="BF106" s="22"/>
      <c r="BG106" s="22"/>
      <c r="BH106" s="23"/>
      <c r="BI106" s="23"/>
      <c r="BJ106" s="22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3"/>
      <c r="CI106" s="23"/>
      <c r="CJ106" s="22"/>
      <c r="CK106" s="22"/>
      <c r="CM106" s="22"/>
      <c r="CN106" s="23"/>
      <c r="CO106" s="22"/>
    </row>
    <row r="107">
      <c r="A107" s="22" t="s">
        <v>33</v>
      </c>
      <c r="B107" s="22" t="s">
        <v>33</v>
      </c>
      <c r="C107" s="22" t="s">
        <v>19</v>
      </c>
      <c r="D107" s="22" t="s">
        <v>19</v>
      </c>
      <c r="E107" s="23">
        <v>1.0</v>
      </c>
      <c r="F107" s="23">
        <v>0.460447</v>
      </c>
      <c r="G107" s="22"/>
      <c r="H107" s="26"/>
      <c r="I107" s="26"/>
      <c r="J107" s="26"/>
      <c r="K107" s="26"/>
      <c r="L107" s="23"/>
      <c r="M107" s="23"/>
      <c r="N107" s="23"/>
      <c r="O107" s="23"/>
      <c r="P107" s="26"/>
      <c r="Q107" s="26"/>
      <c r="R107" s="26"/>
      <c r="S107" s="26"/>
      <c r="T107" s="26"/>
      <c r="U107" s="26"/>
      <c r="V107" s="26"/>
      <c r="W107" s="26"/>
      <c r="X107" s="23"/>
      <c r="Y107" s="26"/>
      <c r="Z107" s="26"/>
      <c r="AA107" s="26"/>
      <c r="AB107" s="26"/>
      <c r="AC107" s="26"/>
      <c r="AD107" s="26"/>
      <c r="AE107" s="26"/>
      <c r="AF107" s="26"/>
      <c r="AG107" s="23"/>
      <c r="AH107" s="23"/>
      <c r="AI107" s="23"/>
      <c r="AJ107" s="23"/>
      <c r="AK107" s="23"/>
      <c r="AL107" s="23"/>
      <c r="AM107" s="26"/>
      <c r="AN107" s="26"/>
      <c r="AO107" s="26"/>
      <c r="AP107" s="26"/>
      <c r="AQ107" s="23"/>
      <c r="AR107" s="23"/>
      <c r="AS107" s="23"/>
      <c r="AT107" s="23"/>
      <c r="AU107" s="26"/>
      <c r="AV107" s="26"/>
      <c r="AW107" s="26"/>
      <c r="AX107" s="26"/>
      <c r="AY107" s="26"/>
      <c r="AZ107" s="26"/>
      <c r="BA107" s="26"/>
      <c r="BB107" s="26"/>
      <c r="BC107" s="22"/>
      <c r="BD107" s="23"/>
      <c r="BE107" s="23"/>
      <c r="BF107" s="22"/>
      <c r="BG107" s="22"/>
      <c r="BH107" s="23"/>
      <c r="BI107" s="23"/>
      <c r="BJ107" s="22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3"/>
      <c r="CI107" s="23"/>
      <c r="CJ107" s="22"/>
      <c r="CK107" s="22"/>
      <c r="CM107" s="22"/>
      <c r="CN107" s="23"/>
      <c r="CO107" s="22"/>
    </row>
    <row r="108">
      <c r="A108" s="22" t="s">
        <v>33</v>
      </c>
      <c r="B108" s="22" t="s">
        <v>33</v>
      </c>
      <c r="C108" s="22" t="s">
        <v>19</v>
      </c>
      <c r="D108" s="22" t="s">
        <v>19</v>
      </c>
      <c r="E108" s="23">
        <v>1.0</v>
      </c>
      <c r="F108" s="23">
        <v>0.628328</v>
      </c>
      <c r="G108" s="22"/>
      <c r="H108" s="26"/>
      <c r="I108" s="26"/>
      <c r="J108" s="26"/>
      <c r="K108" s="26"/>
      <c r="L108" s="23"/>
      <c r="M108" s="23"/>
      <c r="N108" s="23"/>
      <c r="O108" s="23"/>
      <c r="P108" s="26"/>
      <c r="Q108" s="26"/>
      <c r="R108" s="26"/>
      <c r="S108" s="26"/>
      <c r="T108" s="26"/>
      <c r="U108" s="26"/>
      <c r="V108" s="26"/>
      <c r="W108" s="26"/>
      <c r="X108" s="23"/>
      <c r="Y108" s="26"/>
      <c r="Z108" s="26"/>
      <c r="AA108" s="26"/>
      <c r="AB108" s="26"/>
      <c r="AC108" s="26"/>
      <c r="AD108" s="26"/>
      <c r="AE108" s="26"/>
      <c r="AF108" s="26"/>
      <c r="AG108" s="23"/>
      <c r="AH108" s="23"/>
      <c r="AI108" s="23"/>
      <c r="AJ108" s="23"/>
      <c r="AK108" s="23"/>
      <c r="AL108" s="23"/>
      <c r="AM108" s="26"/>
      <c r="AN108" s="26"/>
      <c r="AO108" s="26"/>
      <c r="AP108" s="26"/>
      <c r="AQ108" s="23"/>
      <c r="AR108" s="23"/>
      <c r="AS108" s="23"/>
      <c r="AT108" s="23"/>
      <c r="AU108" s="26"/>
      <c r="AV108" s="26"/>
      <c r="AW108" s="26"/>
      <c r="AX108" s="26"/>
      <c r="AY108" s="26"/>
      <c r="AZ108" s="26"/>
      <c r="BA108" s="26"/>
      <c r="BB108" s="26"/>
      <c r="BC108" s="22"/>
      <c r="BD108" s="23"/>
      <c r="BE108" s="23"/>
      <c r="BF108" s="22"/>
      <c r="BG108" s="22"/>
      <c r="BH108" s="23"/>
      <c r="BI108" s="23"/>
      <c r="BJ108" s="22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3"/>
      <c r="CI108" s="23"/>
      <c r="CJ108" s="22"/>
      <c r="CK108" s="22"/>
      <c r="CM108" s="22"/>
      <c r="CN108" s="23"/>
      <c r="CO108" s="22"/>
    </row>
    <row r="109">
      <c r="A109" s="22" t="s">
        <v>33</v>
      </c>
      <c r="B109" s="22" t="s">
        <v>33</v>
      </c>
      <c r="C109" s="22" t="s">
        <v>19</v>
      </c>
      <c r="D109" s="22" t="s">
        <v>19</v>
      </c>
      <c r="E109" s="23">
        <v>1.0</v>
      </c>
      <c r="F109" s="23">
        <v>0.415531</v>
      </c>
      <c r="G109" s="22"/>
      <c r="H109" s="26"/>
      <c r="I109" s="26"/>
      <c r="J109" s="26"/>
      <c r="K109" s="26"/>
      <c r="L109" s="23"/>
      <c r="M109" s="23"/>
      <c r="N109" s="23"/>
      <c r="O109" s="23"/>
      <c r="P109" s="26"/>
      <c r="Q109" s="26"/>
      <c r="R109" s="26"/>
      <c r="S109" s="26"/>
      <c r="T109" s="26"/>
      <c r="U109" s="26"/>
      <c r="V109" s="26"/>
      <c r="W109" s="26"/>
      <c r="X109" s="23"/>
      <c r="Y109" s="26"/>
      <c r="Z109" s="26"/>
      <c r="AA109" s="26"/>
      <c r="AB109" s="26"/>
      <c r="AC109" s="26"/>
      <c r="AD109" s="26"/>
      <c r="AE109" s="26"/>
      <c r="AF109" s="26"/>
      <c r="AG109" s="23"/>
      <c r="AH109" s="23"/>
      <c r="AI109" s="23"/>
      <c r="AJ109" s="23"/>
      <c r="AK109" s="23"/>
      <c r="AL109" s="23"/>
      <c r="AM109" s="26"/>
      <c r="AN109" s="26"/>
      <c r="AO109" s="26"/>
      <c r="AP109" s="26"/>
      <c r="AQ109" s="23"/>
      <c r="AR109" s="23"/>
      <c r="AS109" s="23"/>
      <c r="AT109" s="23"/>
      <c r="AU109" s="26"/>
      <c r="AV109" s="26"/>
      <c r="AW109" s="26"/>
      <c r="AX109" s="26"/>
      <c r="AY109" s="26"/>
      <c r="AZ109" s="26"/>
      <c r="BA109" s="26"/>
      <c r="BB109" s="26"/>
      <c r="BC109" s="22"/>
      <c r="BD109" s="23"/>
      <c r="BE109" s="23"/>
      <c r="BF109" s="22"/>
      <c r="BG109" s="22"/>
      <c r="BH109" s="23"/>
      <c r="BI109" s="23"/>
      <c r="BJ109" s="22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3"/>
      <c r="CI109" s="23"/>
      <c r="CJ109" s="22"/>
      <c r="CK109" s="22"/>
      <c r="CM109" s="22"/>
      <c r="CN109" s="23"/>
      <c r="CO109" s="22"/>
    </row>
    <row r="110">
      <c r="A110" s="22" t="s">
        <v>33</v>
      </c>
      <c r="B110" s="22" t="s">
        <v>33</v>
      </c>
      <c r="C110" s="22" t="s">
        <v>19</v>
      </c>
      <c r="D110" s="22" t="s">
        <v>19</v>
      </c>
      <c r="E110" s="23">
        <v>1.0</v>
      </c>
      <c r="F110" s="23">
        <v>1.40803</v>
      </c>
      <c r="G110" s="22"/>
      <c r="H110" s="26"/>
      <c r="I110" s="26"/>
      <c r="J110" s="26"/>
      <c r="K110" s="26"/>
      <c r="L110" s="23"/>
      <c r="M110" s="23"/>
      <c r="N110" s="23"/>
      <c r="O110" s="23"/>
      <c r="P110" s="26"/>
      <c r="Q110" s="26"/>
      <c r="R110" s="26"/>
      <c r="S110" s="26"/>
      <c r="T110" s="26"/>
      <c r="U110" s="26"/>
      <c r="V110" s="26"/>
      <c r="W110" s="26"/>
      <c r="X110" s="23"/>
      <c r="Y110" s="26"/>
      <c r="Z110" s="26"/>
      <c r="AA110" s="26"/>
      <c r="AB110" s="26"/>
      <c r="AC110" s="26"/>
      <c r="AD110" s="26"/>
      <c r="AE110" s="26"/>
      <c r="AF110" s="26"/>
      <c r="AG110" s="23"/>
      <c r="AH110" s="23"/>
      <c r="AI110" s="23"/>
      <c r="AJ110" s="23"/>
      <c r="AK110" s="23"/>
      <c r="AL110" s="23"/>
      <c r="AM110" s="26"/>
      <c r="AN110" s="26"/>
      <c r="AO110" s="26"/>
      <c r="AP110" s="26"/>
      <c r="AQ110" s="23"/>
      <c r="AR110" s="23"/>
      <c r="AS110" s="23"/>
      <c r="AT110" s="23"/>
      <c r="AU110" s="26"/>
      <c r="AV110" s="26"/>
      <c r="AW110" s="26"/>
      <c r="AX110" s="26"/>
      <c r="AY110" s="26"/>
      <c r="AZ110" s="26"/>
      <c r="BA110" s="26"/>
      <c r="BB110" s="26"/>
      <c r="BC110" s="22"/>
      <c r="BD110" s="23"/>
      <c r="BE110" s="23"/>
      <c r="BF110" s="22"/>
      <c r="BG110" s="22"/>
      <c r="BH110" s="23"/>
      <c r="BI110" s="23"/>
      <c r="BJ110" s="22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3"/>
      <c r="CI110" s="23"/>
      <c r="CJ110" s="22"/>
      <c r="CK110" s="22"/>
      <c r="CM110" s="22"/>
      <c r="CN110" s="23"/>
      <c r="CO110" s="22"/>
    </row>
    <row r="111">
      <c r="A111" s="22" t="s">
        <v>33</v>
      </c>
      <c r="B111" s="22" t="s">
        <v>33</v>
      </c>
      <c r="C111" s="22" t="s">
        <v>19</v>
      </c>
      <c r="D111" s="22" t="s">
        <v>19</v>
      </c>
      <c r="E111" s="23">
        <v>1.0</v>
      </c>
      <c r="F111" s="23">
        <v>0.691002</v>
      </c>
      <c r="G111" s="22"/>
      <c r="H111" s="26"/>
      <c r="I111" s="26"/>
      <c r="J111" s="26"/>
      <c r="K111" s="26"/>
      <c r="L111" s="23"/>
      <c r="M111" s="23"/>
      <c r="N111" s="23"/>
      <c r="O111" s="23"/>
      <c r="P111" s="26"/>
      <c r="Q111" s="26"/>
      <c r="R111" s="26"/>
      <c r="S111" s="26"/>
      <c r="T111" s="26"/>
      <c r="U111" s="26"/>
      <c r="V111" s="26"/>
      <c r="W111" s="26"/>
      <c r="X111" s="23"/>
      <c r="Y111" s="26"/>
      <c r="Z111" s="26"/>
      <c r="AA111" s="26"/>
      <c r="AB111" s="26"/>
      <c r="AC111" s="26"/>
      <c r="AD111" s="26"/>
      <c r="AE111" s="26"/>
      <c r="AF111" s="26"/>
      <c r="AG111" s="23"/>
      <c r="AH111" s="23"/>
      <c r="AI111" s="23"/>
      <c r="AJ111" s="23"/>
      <c r="AK111" s="23"/>
      <c r="AL111" s="23"/>
      <c r="AM111" s="26"/>
      <c r="AN111" s="26"/>
      <c r="AO111" s="26"/>
      <c r="AP111" s="26"/>
      <c r="AQ111" s="23"/>
      <c r="AR111" s="23"/>
      <c r="AS111" s="23"/>
      <c r="AT111" s="23"/>
      <c r="AU111" s="26"/>
      <c r="AV111" s="26"/>
      <c r="AW111" s="26"/>
      <c r="AX111" s="26"/>
      <c r="AY111" s="26"/>
      <c r="AZ111" s="26"/>
      <c r="BA111" s="26"/>
      <c r="BB111" s="26"/>
      <c r="BC111" s="22"/>
      <c r="BD111" s="23"/>
      <c r="BE111" s="23"/>
      <c r="BF111" s="22"/>
      <c r="BG111" s="22"/>
      <c r="BH111" s="23"/>
      <c r="BI111" s="23"/>
      <c r="BJ111" s="22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3"/>
      <c r="CI111" s="23"/>
      <c r="CJ111" s="22"/>
      <c r="CK111" s="22"/>
      <c r="CM111" s="22"/>
      <c r="CN111" s="23"/>
      <c r="CO111" s="22"/>
    </row>
    <row r="112">
      <c r="A112" s="22" t="s">
        <v>33</v>
      </c>
      <c r="B112" s="22" t="s">
        <v>33</v>
      </c>
      <c r="C112" s="22" t="s">
        <v>19</v>
      </c>
      <c r="D112" s="22" t="s">
        <v>19</v>
      </c>
      <c r="E112" s="23">
        <v>1.0</v>
      </c>
      <c r="F112" s="23">
        <v>0.534441</v>
      </c>
      <c r="G112" s="22"/>
      <c r="H112" s="26"/>
      <c r="I112" s="26"/>
      <c r="J112" s="26"/>
      <c r="K112" s="26"/>
      <c r="L112" s="23"/>
      <c r="M112" s="23"/>
      <c r="N112" s="23"/>
      <c r="O112" s="23"/>
      <c r="P112" s="26"/>
      <c r="Q112" s="26"/>
      <c r="R112" s="26"/>
      <c r="S112" s="26"/>
      <c r="T112" s="26"/>
      <c r="U112" s="26"/>
      <c r="V112" s="26"/>
      <c r="W112" s="26"/>
      <c r="X112" s="23"/>
      <c r="Y112" s="26"/>
      <c r="Z112" s="26"/>
      <c r="AA112" s="26"/>
      <c r="AB112" s="26"/>
      <c r="AC112" s="26"/>
      <c r="AD112" s="26"/>
      <c r="AE112" s="26"/>
      <c r="AF112" s="26"/>
      <c r="AG112" s="23"/>
      <c r="AH112" s="23"/>
      <c r="AI112" s="23"/>
      <c r="AJ112" s="23"/>
      <c r="AK112" s="23"/>
      <c r="AL112" s="23"/>
      <c r="AM112" s="26"/>
      <c r="AN112" s="26"/>
      <c r="AO112" s="26"/>
      <c r="AP112" s="26"/>
      <c r="AQ112" s="23"/>
      <c r="AR112" s="23"/>
      <c r="AS112" s="23"/>
      <c r="AT112" s="23"/>
      <c r="AU112" s="26"/>
      <c r="AV112" s="26"/>
      <c r="AW112" s="26"/>
      <c r="AX112" s="26"/>
      <c r="AY112" s="26"/>
      <c r="AZ112" s="26"/>
      <c r="BA112" s="26"/>
      <c r="BB112" s="26"/>
      <c r="BC112" s="22"/>
      <c r="BD112" s="23"/>
      <c r="BE112" s="23"/>
      <c r="BF112" s="22"/>
      <c r="BG112" s="22"/>
      <c r="BH112" s="23"/>
      <c r="BI112" s="23"/>
      <c r="BJ112" s="22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3"/>
      <c r="CI112" s="23"/>
      <c r="CJ112" s="22"/>
      <c r="CK112" s="22"/>
      <c r="CM112" s="22"/>
      <c r="CN112" s="23"/>
      <c r="CO112" s="22"/>
    </row>
    <row r="113">
      <c r="A113" s="22" t="s">
        <v>33</v>
      </c>
      <c r="B113" s="22" t="s">
        <v>33</v>
      </c>
      <c r="C113" s="22" t="s">
        <v>19</v>
      </c>
      <c r="D113" s="22" t="s">
        <v>19</v>
      </c>
      <c r="E113" s="23">
        <v>1.0</v>
      </c>
      <c r="F113" s="23">
        <v>1.454259</v>
      </c>
      <c r="G113" s="22"/>
      <c r="H113" s="26"/>
      <c r="I113" s="26"/>
      <c r="J113" s="26"/>
      <c r="K113" s="26"/>
      <c r="L113" s="23"/>
      <c r="M113" s="23"/>
      <c r="N113" s="23"/>
      <c r="O113" s="23"/>
      <c r="P113" s="26"/>
      <c r="Q113" s="26"/>
      <c r="R113" s="26"/>
      <c r="S113" s="26"/>
      <c r="T113" s="26"/>
      <c r="U113" s="26"/>
      <c r="V113" s="26"/>
      <c r="W113" s="26"/>
      <c r="X113" s="23"/>
      <c r="Y113" s="26"/>
      <c r="Z113" s="26"/>
      <c r="AA113" s="26"/>
      <c r="AB113" s="26"/>
      <c r="AC113" s="26"/>
      <c r="AD113" s="26"/>
      <c r="AE113" s="26"/>
      <c r="AF113" s="26"/>
      <c r="AG113" s="23"/>
      <c r="AH113" s="23"/>
      <c r="AI113" s="23"/>
      <c r="AJ113" s="23"/>
      <c r="AK113" s="23"/>
      <c r="AL113" s="23"/>
      <c r="AM113" s="26"/>
      <c r="AN113" s="26"/>
      <c r="AO113" s="26"/>
      <c r="AP113" s="26"/>
      <c r="AQ113" s="23"/>
      <c r="AR113" s="23"/>
      <c r="AS113" s="23"/>
      <c r="AT113" s="23"/>
      <c r="AU113" s="26"/>
      <c r="AV113" s="26"/>
      <c r="AW113" s="26"/>
      <c r="AX113" s="26"/>
      <c r="AY113" s="26"/>
      <c r="AZ113" s="26"/>
      <c r="BA113" s="26"/>
      <c r="BB113" s="26"/>
      <c r="BC113" s="22"/>
      <c r="BD113" s="23"/>
      <c r="BE113" s="23"/>
      <c r="BF113" s="22"/>
      <c r="BG113" s="22"/>
      <c r="BH113" s="23"/>
      <c r="BI113" s="23"/>
      <c r="BJ113" s="22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3"/>
      <c r="CI113" s="23"/>
      <c r="CJ113" s="22"/>
      <c r="CK113" s="22"/>
      <c r="CM113" s="22"/>
      <c r="CN113" s="23"/>
      <c r="CO113" s="22"/>
    </row>
    <row r="114">
      <c r="A114" s="22" t="s">
        <v>33</v>
      </c>
      <c r="B114" s="22" t="s">
        <v>33</v>
      </c>
      <c r="C114" s="22" t="s">
        <v>19</v>
      </c>
      <c r="D114" s="22" t="s">
        <v>19</v>
      </c>
      <c r="E114" s="23">
        <v>1.0</v>
      </c>
      <c r="F114" s="23">
        <v>0.89086</v>
      </c>
      <c r="G114" s="22"/>
      <c r="H114" s="26"/>
      <c r="I114" s="26"/>
      <c r="J114" s="26"/>
      <c r="K114" s="26"/>
      <c r="L114" s="23"/>
      <c r="M114" s="23"/>
      <c r="N114" s="23"/>
      <c r="O114" s="23"/>
      <c r="P114" s="26"/>
      <c r="Q114" s="26"/>
      <c r="R114" s="26"/>
      <c r="S114" s="26"/>
      <c r="T114" s="26"/>
      <c r="U114" s="26"/>
      <c r="V114" s="26"/>
      <c r="W114" s="26"/>
      <c r="X114" s="23"/>
      <c r="Y114" s="26"/>
      <c r="Z114" s="26"/>
      <c r="AA114" s="26"/>
      <c r="AB114" s="26"/>
      <c r="AC114" s="26"/>
      <c r="AD114" s="26"/>
      <c r="AE114" s="26"/>
      <c r="AF114" s="26"/>
      <c r="AG114" s="23"/>
      <c r="AH114" s="23"/>
      <c r="AI114" s="23"/>
      <c r="AJ114" s="23"/>
      <c r="AK114" s="23"/>
      <c r="AL114" s="23"/>
      <c r="AM114" s="26"/>
      <c r="AN114" s="26"/>
      <c r="AO114" s="26"/>
      <c r="AP114" s="26"/>
      <c r="AQ114" s="23"/>
      <c r="AR114" s="23"/>
      <c r="AS114" s="23"/>
      <c r="AT114" s="23"/>
      <c r="AU114" s="26"/>
      <c r="AV114" s="26"/>
      <c r="AW114" s="26"/>
      <c r="AX114" s="26"/>
      <c r="AY114" s="26"/>
      <c r="AZ114" s="26"/>
      <c r="BA114" s="26"/>
      <c r="BB114" s="26"/>
      <c r="BC114" s="22"/>
      <c r="BD114" s="23"/>
      <c r="BE114" s="23"/>
      <c r="BF114" s="22"/>
      <c r="BG114" s="22"/>
      <c r="BH114" s="23"/>
      <c r="BI114" s="23"/>
      <c r="BJ114" s="22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3"/>
      <c r="CI114" s="23"/>
      <c r="CJ114" s="22"/>
      <c r="CK114" s="22"/>
      <c r="CM114" s="22"/>
      <c r="CN114" s="23"/>
      <c r="CO114" s="22"/>
    </row>
    <row r="115">
      <c r="A115" s="22" t="s">
        <v>33</v>
      </c>
      <c r="B115" s="22" t="s">
        <v>33</v>
      </c>
      <c r="C115" s="22" t="s">
        <v>19</v>
      </c>
      <c r="D115" s="22" t="s">
        <v>19</v>
      </c>
      <c r="E115" s="23">
        <v>1.0</v>
      </c>
      <c r="F115" s="23">
        <v>0.392294</v>
      </c>
      <c r="G115" s="22"/>
      <c r="H115" s="26"/>
      <c r="I115" s="26"/>
      <c r="J115" s="26"/>
      <c r="K115" s="26"/>
      <c r="L115" s="23"/>
      <c r="M115" s="23"/>
      <c r="N115" s="23"/>
      <c r="O115" s="23"/>
      <c r="P115" s="26"/>
      <c r="Q115" s="26"/>
      <c r="R115" s="26"/>
      <c r="S115" s="26"/>
      <c r="T115" s="26"/>
      <c r="U115" s="26"/>
      <c r="V115" s="26"/>
      <c r="W115" s="26"/>
      <c r="X115" s="23"/>
      <c r="Y115" s="26"/>
      <c r="Z115" s="26"/>
      <c r="AA115" s="26"/>
      <c r="AB115" s="26"/>
      <c r="AC115" s="26"/>
      <c r="AD115" s="26"/>
      <c r="AE115" s="26"/>
      <c r="AF115" s="26"/>
      <c r="AG115" s="23"/>
      <c r="AH115" s="23"/>
      <c r="AI115" s="23"/>
      <c r="AJ115" s="23"/>
      <c r="AK115" s="23"/>
      <c r="AL115" s="23"/>
      <c r="AM115" s="26"/>
      <c r="AN115" s="26"/>
      <c r="AO115" s="26"/>
      <c r="AP115" s="26"/>
      <c r="AQ115" s="23"/>
      <c r="AR115" s="23"/>
      <c r="AS115" s="23"/>
      <c r="AT115" s="23"/>
      <c r="AU115" s="26"/>
      <c r="AV115" s="26"/>
      <c r="AW115" s="26"/>
      <c r="AX115" s="26"/>
      <c r="AY115" s="26"/>
      <c r="AZ115" s="26"/>
      <c r="BA115" s="26"/>
      <c r="BB115" s="26"/>
      <c r="BC115" s="22"/>
      <c r="BD115" s="23"/>
      <c r="BE115" s="23"/>
      <c r="BF115" s="22"/>
      <c r="BG115" s="22"/>
      <c r="BH115" s="23"/>
      <c r="BI115" s="23"/>
      <c r="BJ115" s="22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3"/>
      <c r="CI115" s="23"/>
      <c r="CJ115" s="22"/>
      <c r="CK115" s="22"/>
      <c r="CM115" s="22"/>
      <c r="CN115" s="23"/>
      <c r="CO115" s="22"/>
    </row>
    <row r="116">
      <c r="A116" s="22" t="s">
        <v>33</v>
      </c>
      <c r="B116" s="22" t="s">
        <v>33</v>
      </c>
      <c r="C116" s="22" t="s">
        <v>19</v>
      </c>
      <c r="D116" s="22" t="s">
        <v>19</v>
      </c>
      <c r="E116" s="23">
        <v>1.0</v>
      </c>
      <c r="F116" s="23">
        <v>0.490507</v>
      </c>
      <c r="G116" s="22"/>
      <c r="H116" s="26"/>
      <c r="I116" s="26"/>
      <c r="J116" s="26"/>
      <c r="K116" s="26"/>
      <c r="L116" s="23"/>
      <c r="M116" s="23"/>
      <c r="N116" s="23"/>
      <c r="O116" s="23"/>
      <c r="P116" s="26"/>
      <c r="Q116" s="26"/>
      <c r="R116" s="26"/>
      <c r="S116" s="26"/>
      <c r="T116" s="26"/>
      <c r="U116" s="26"/>
      <c r="V116" s="26"/>
      <c r="W116" s="26"/>
      <c r="X116" s="23"/>
      <c r="Y116" s="26"/>
      <c r="Z116" s="26"/>
      <c r="AA116" s="26"/>
      <c r="AB116" s="26"/>
      <c r="AC116" s="26"/>
      <c r="AD116" s="26"/>
      <c r="AE116" s="26"/>
      <c r="AF116" s="26"/>
      <c r="AG116" s="23"/>
      <c r="AH116" s="23"/>
      <c r="AI116" s="23"/>
      <c r="AJ116" s="23"/>
      <c r="AK116" s="23"/>
      <c r="AL116" s="23"/>
      <c r="AM116" s="26"/>
      <c r="AN116" s="26"/>
      <c r="AO116" s="26"/>
      <c r="AP116" s="26"/>
      <c r="AQ116" s="23"/>
      <c r="AR116" s="23"/>
      <c r="AS116" s="23"/>
      <c r="AT116" s="23"/>
      <c r="AU116" s="26"/>
      <c r="AV116" s="26"/>
      <c r="AW116" s="26"/>
      <c r="AX116" s="26"/>
      <c r="AY116" s="26"/>
      <c r="AZ116" s="26"/>
      <c r="BA116" s="26"/>
      <c r="BB116" s="26"/>
      <c r="BC116" s="22"/>
      <c r="BD116" s="23"/>
      <c r="BE116" s="23"/>
      <c r="BF116" s="22"/>
      <c r="BG116" s="22"/>
      <c r="BH116" s="23"/>
      <c r="BI116" s="23"/>
      <c r="BJ116" s="22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3"/>
      <c r="CI116" s="23"/>
      <c r="CJ116" s="22"/>
      <c r="CK116" s="22"/>
      <c r="CM116" s="22"/>
      <c r="CN116" s="23"/>
      <c r="CO116" s="22"/>
    </row>
    <row r="117">
      <c r="A117" s="22" t="s">
        <v>33</v>
      </c>
      <c r="B117" s="22" t="s">
        <v>33</v>
      </c>
      <c r="C117" s="22" t="s">
        <v>19</v>
      </c>
      <c r="D117" s="22" t="s">
        <v>19</v>
      </c>
      <c r="E117" s="23">
        <v>1.0</v>
      </c>
      <c r="F117" s="23">
        <v>0.367658</v>
      </c>
      <c r="G117" s="22"/>
      <c r="H117" s="26"/>
      <c r="I117" s="26"/>
      <c r="J117" s="26"/>
      <c r="K117" s="26"/>
      <c r="L117" s="23"/>
      <c r="M117" s="23"/>
      <c r="N117" s="23"/>
      <c r="O117" s="23"/>
      <c r="P117" s="26"/>
      <c r="Q117" s="26"/>
      <c r="R117" s="26"/>
      <c r="S117" s="26"/>
      <c r="T117" s="26"/>
      <c r="U117" s="26"/>
      <c r="V117" s="26"/>
      <c r="W117" s="26"/>
      <c r="X117" s="23"/>
      <c r="Y117" s="26"/>
      <c r="Z117" s="26"/>
      <c r="AA117" s="26"/>
      <c r="AB117" s="26"/>
      <c r="AC117" s="26"/>
      <c r="AD117" s="26"/>
      <c r="AE117" s="26"/>
      <c r="AF117" s="26"/>
      <c r="AG117" s="23"/>
      <c r="AH117" s="23"/>
      <c r="AI117" s="23"/>
      <c r="AJ117" s="23"/>
      <c r="AK117" s="23"/>
      <c r="AL117" s="23"/>
      <c r="AM117" s="26"/>
      <c r="AN117" s="26"/>
      <c r="AO117" s="26"/>
      <c r="AP117" s="26"/>
      <c r="AQ117" s="23"/>
      <c r="AR117" s="23"/>
      <c r="AS117" s="23"/>
      <c r="AT117" s="23"/>
      <c r="AU117" s="26"/>
      <c r="AV117" s="26"/>
      <c r="AW117" s="26"/>
      <c r="AX117" s="26"/>
      <c r="AY117" s="26"/>
      <c r="AZ117" s="26"/>
      <c r="BA117" s="26"/>
      <c r="BB117" s="26"/>
      <c r="BC117" s="22"/>
      <c r="BD117" s="23"/>
      <c r="BE117" s="23"/>
      <c r="BF117" s="22"/>
      <c r="BG117" s="22"/>
      <c r="BH117" s="23"/>
      <c r="BI117" s="23"/>
      <c r="BJ117" s="22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3"/>
      <c r="CI117" s="23"/>
      <c r="CJ117" s="22"/>
      <c r="CK117" s="22"/>
      <c r="CM117" s="22"/>
      <c r="CN117" s="23"/>
      <c r="CO117" s="22"/>
    </row>
    <row r="118">
      <c r="A118" s="22" t="s">
        <v>33</v>
      </c>
      <c r="B118" s="22" t="s">
        <v>33</v>
      </c>
      <c r="C118" s="22" t="s">
        <v>19</v>
      </c>
      <c r="D118" s="22" t="s">
        <v>19</v>
      </c>
      <c r="E118" s="23">
        <v>1.0</v>
      </c>
      <c r="F118" s="23">
        <v>0.495803</v>
      </c>
      <c r="G118" s="22"/>
      <c r="H118" s="26"/>
      <c r="I118" s="26"/>
      <c r="J118" s="26"/>
      <c r="K118" s="26"/>
      <c r="L118" s="23"/>
      <c r="M118" s="23"/>
      <c r="N118" s="23"/>
      <c r="O118" s="23"/>
      <c r="P118" s="26"/>
      <c r="Q118" s="26"/>
      <c r="R118" s="26"/>
      <c r="S118" s="26"/>
      <c r="T118" s="26"/>
      <c r="U118" s="26"/>
      <c r="V118" s="26"/>
      <c r="W118" s="26"/>
      <c r="X118" s="23"/>
      <c r="Y118" s="26"/>
      <c r="Z118" s="26"/>
      <c r="AA118" s="26"/>
      <c r="AB118" s="26"/>
      <c r="AC118" s="26"/>
      <c r="AD118" s="26"/>
      <c r="AE118" s="26"/>
      <c r="AF118" s="26"/>
      <c r="AG118" s="23"/>
      <c r="AH118" s="23"/>
      <c r="AI118" s="23"/>
      <c r="AJ118" s="23"/>
      <c r="AK118" s="23"/>
      <c r="AL118" s="23"/>
      <c r="AM118" s="26"/>
      <c r="AN118" s="26"/>
      <c r="AO118" s="26"/>
      <c r="AP118" s="26"/>
      <c r="AQ118" s="23"/>
      <c r="AR118" s="23"/>
      <c r="AS118" s="23"/>
      <c r="AT118" s="23"/>
      <c r="AU118" s="26"/>
      <c r="AV118" s="26"/>
      <c r="AW118" s="26"/>
      <c r="AX118" s="26"/>
      <c r="AY118" s="26"/>
      <c r="AZ118" s="26"/>
      <c r="BA118" s="26"/>
      <c r="BB118" s="26"/>
      <c r="BC118" s="22"/>
      <c r="BD118" s="23"/>
      <c r="BE118" s="23"/>
      <c r="BF118" s="22"/>
      <c r="BG118" s="22"/>
      <c r="BH118" s="23"/>
      <c r="BI118" s="23"/>
      <c r="BJ118" s="22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3"/>
      <c r="CI118" s="23"/>
      <c r="CJ118" s="22"/>
      <c r="CK118" s="22"/>
      <c r="CM118" s="22"/>
      <c r="CN118" s="23"/>
      <c r="CO118" s="22"/>
    </row>
    <row r="119">
      <c r="A119" s="22" t="s">
        <v>33</v>
      </c>
      <c r="B119" s="22" t="s">
        <v>33</v>
      </c>
      <c r="C119" s="22" t="s">
        <v>19</v>
      </c>
      <c r="D119" s="22" t="s">
        <v>19</v>
      </c>
      <c r="E119" s="23">
        <v>1.0</v>
      </c>
      <c r="F119" s="23">
        <v>0.445707</v>
      </c>
      <c r="G119" s="22"/>
      <c r="H119" s="26"/>
      <c r="I119" s="26"/>
      <c r="J119" s="26"/>
      <c r="K119" s="26"/>
      <c r="L119" s="23"/>
      <c r="M119" s="23"/>
      <c r="N119" s="23"/>
      <c r="O119" s="23"/>
      <c r="P119" s="26"/>
      <c r="Q119" s="26"/>
      <c r="R119" s="26"/>
      <c r="S119" s="26"/>
      <c r="T119" s="26"/>
      <c r="U119" s="26"/>
      <c r="V119" s="26"/>
      <c r="W119" s="26"/>
      <c r="X119" s="23"/>
      <c r="Y119" s="26"/>
      <c r="Z119" s="26"/>
      <c r="AA119" s="26"/>
      <c r="AB119" s="26"/>
      <c r="AC119" s="26"/>
      <c r="AD119" s="26"/>
      <c r="AE119" s="26"/>
      <c r="AF119" s="26"/>
      <c r="AG119" s="23"/>
      <c r="AH119" s="23"/>
      <c r="AI119" s="23"/>
      <c r="AJ119" s="23"/>
      <c r="AK119" s="23"/>
      <c r="AL119" s="23"/>
      <c r="AM119" s="26"/>
      <c r="AN119" s="26"/>
      <c r="AO119" s="26"/>
      <c r="AP119" s="26"/>
      <c r="AQ119" s="23"/>
      <c r="AR119" s="23"/>
      <c r="AS119" s="23"/>
      <c r="AT119" s="23"/>
      <c r="AU119" s="26"/>
      <c r="AV119" s="26"/>
      <c r="AW119" s="26"/>
      <c r="AX119" s="26"/>
      <c r="AY119" s="26"/>
      <c r="AZ119" s="26"/>
      <c r="BA119" s="26"/>
      <c r="BB119" s="26"/>
      <c r="BC119" s="22"/>
      <c r="BD119" s="23"/>
      <c r="BE119" s="23"/>
      <c r="BF119" s="22"/>
      <c r="BG119" s="22"/>
      <c r="BH119" s="23"/>
      <c r="BI119" s="23"/>
      <c r="BJ119" s="22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3"/>
      <c r="CI119" s="23"/>
      <c r="CJ119" s="22"/>
      <c r="CK119" s="22"/>
      <c r="CM119" s="22"/>
      <c r="CN119" s="23"/>
      <c r="CO119" s="22"/>
    </row>
    <row r="120">
      <c r="A120" s="22" t="s">
        <v>33</v>
      </c>
      <c r="B120" s="22" t="s">
        <v>33</v>
      </c>
      <c r="C120" s="22" t="s">
        <v>19</v>
      </c>
      <c r="D120" s="22" t="s">
        <v>19</v>
      </c>
      <c r="E120" s="23">
        <v>1.0</v>
      </c>
      <c r="F120" s="23">
        <v>0.558013</v>
      </c>
      <c r="G120" s="22"/>
      <c r="H120" s="26"/>
      <c r="I120" s="26"/>
      <c r="J120" s="26"/>
      <c r="K120" s="26"/>
      <c r="L120" s="23"/>
      <c r="M120" s="23"/>
      <c r="N120" s="23"/>
      <c r="O120" s="23"/>
      <c r="P120" s="26"/>
      <c r="Q120" s="26"/>
      <c r="R120" s="26"/>
      <c r="S120" s="26"/>
      <c r="T120" s="26"/>
      <c r="U120" s="26"/>
      <c r="V120" s="26"/>
      <c r="W120" s="26"/>
      <c r="X120" s="23"/>
      <c r="Y120" s="26"/>
      <c r="Z120" s="26"/>
      <c r="AA120" s="26"/>
      <c r="AB120" s="26"/>
      <c r="AC120" s="26"/>
      <c r="AD120" s="26"/>
      <c r="AE120" s="26"/>
      <c r="AF120" s="26"/>
      <c r="AG120" s="23"/>
      <c r="AH120" s="23"/>
      <c r="AI120" s="23"/>
      <c r="AJ120" s="23"/>
      <c r="AK120" s="23"/>
      <c r="AL120" s="23"/>
      <c r="AM120" s="26"/>
      <c r="AN120" s="26"/>
      <c r="AO120" s="26"/>
      <c r="AP120" s="26"/>
      <c r="AQ120" s="23"/>
      <c r="AR120" s="23"/>
      <c r="AS120" s="23"/>
      <c r="AT120" s="23"/>
      <c r="AU120" s="26"/>
      <c r="AV120" s="26"/>
      <c r="AW120" s="26"/>
      <c r="AX120" s="26"/>
      <c r="AY120" s="26"/>
      <c r="AZ120" s="26"/>
      <c r="BA120" s="26"/>
      <c r="BB120" s="26"/>
      <c r="BC120" s="22"/>
      <c r="BD120" s="23"/>
      <c r="BE120" s="23"/>
      <c r="BF120" s="22"/>
      <c r="BG120" s="22"/>
      <c r="BH120" s="23"/>
      <c r="BI120" s="23"/>
      <c r="BJ120" s="22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3"/>
      <c r="CI120" s="23"/>
      <c r="CJ120" s="22"/>
      <c r="CK120" s="22"/>
      <c r="CM120" s="22"/>
      <c r="CN120" s="23"/>
      <c r="CO120" s="2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3"/>
      <c r="BL121" s="23"/>
      <c r="BM121" s="23"/>
      <c r="BN121" s="23"/>
      <c r="BO121" s="22"/>
      <c r="BP121" s="23"/>
      <c r="BQ121" s="22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3"/>
      <c r="CI121" s="23"/>
      <c r="CJ121" s="22"/>
      <c r="CK121" s="22"/>
      <c r="CM121" s="22"/>
      <c r="CN121" s="23"/>
      <c r="CO121" s="2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3"/>
      <c r="AZ122" s="23"/>
      <c r="BA122" s="23"/>
      <c r="BB122" s="23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3"/>
      <c r="CI122" s="23"/>
      <c r="CJ122" s="22"/>
      <c r="CK122" s="22"/>
      <c r="CM122" s="22"/>
      <c r="CN122" s="23"/>
      <c r="CO122" s="22"/>
    </row>
    <row r="123">
      <c r="G123" s="22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3"/>
      <c r="U123" s="23"/>
      <c r="V123" s="23"/>
      <c r="W123" s="23"/>
      <c r="X123" s="23"/>
      <c r="Y123" s="26"/>
      <c r="Z123" s="26"/>
      <c r="AA123" s="26"/>
      <c r="AB123" s="26"/>
      <c r="AC123" s="26"/>
      <c r="AD123" s="26"/>
      <c r="AE123" s="26"/>
      <c r="AF123" s="26"/>
      <c r="AG123" s="23"/>
      <c r="AH123" s="23"/>
      <c r="AI123" s="23"/>
      <c r="AJ123" s="23"/>
      <c r="AK123" s="23"/>
      <c r="AL123" s="23"/>
      <c r="AM123" s="26"/>
      <c r="AN123" s="26"/>
      <c r="AO123" s="26"/>
      <c r="AP123" s="26"/>
      <c r="AQ123" s="23"/>
      <c r="AR123" s="23"/>
      <c r="AS123" s="23"/>
      <c r="AT123" s="23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2"/>
      <c r="CA123" s="23"/>
      <c r="CB123" s="23"/>
      <c r="CC123" s="22"/>
      <c r="CD123" s="22"/>
      <c r="CE123" s="23"/>
      <c r="CF123" s="23"/>
      <c r="CG123" s="22"/>
      <c r="CH123" s="23"/>
      <c r="CI123" s="23"/>
      <c r="CJ123" s="22"/>
      <c r="CK123" s="22"/>
      <c r="CM123" s="22"/>
      <c r="CN123" s="23"/>
      <c r="CO123" s="22"/>
    </row>
    <row r="124">
      <c r="G124" s="22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3"/>
      <c r="U124" s="23"/>
      <c r="V124" s="23"/>
      <c r="W124" s="23"/>
      <c r="X124" s="23"/>
      <c r="Y124" s="26"/>
      <c r="Z124" s="26"/>
      <c r="AA124" s="26"/>
      <c r="AB124" s="26"/>
      <c r="AC124" s="26"/>
      <c r="AD124" s="26"/>
      <c r="AE124" s="26"/>
      <c r="AF124" s="26"/>
      <c r="AG124" s="23"/>
      <c r="AH124" s="23"/>
      <c r="AI124" s="23"/>
      <c r="AJ124" s="23"/>
      <c r="AK124" s="23"/>
      <c r="AL124" s="23"/>
      <c r="AM124" s="26"/>
      <c r="AN124" s="26"/>
      <c r="AO124" s="26"/>
      <c r="AP124" s="26"/>
      <c r="AQ124" s="23"/>
      <c r="AR124" s="23"/>
      <c r="AS124" s="23"/>
      <c r="AT124" s="23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2"/>
      <c r="CA124" s="23"/>
      <c r="CB124" s="23"/>
      <c r="CC124" s="22"/>
      <c r="CD124" s="22"/>
      <c r="CE124" s="23"/>
      <c r="CF124" s="23"/>
      <c r="CG124" s="22"/>
      <c r="CH124" s="23"/>
      <c r="CI124" s="23"/>
      <c r="CJ124" s="22"/>
      <c r="CK124" s="22"/>
      <c r="CM124" s="22"/>
      <c r="CN124" s="23"/>
      <c r="CO124" s="22"/>
    </row>
    <row r="125">
      <c r="G125" s="22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3"/>
      <c r="U125" s="23"/>
      <c r="V125" s="23"/>
      <c r="W125" s="23"/>
      <c r="X125" s="23"/>
      <c r="Y125" s="26"/>
      <c r="Z125" s="26"/>
      <c r="AA125" s="26"/>
      <c r="AB125" s="26"/>
      <c r="AC125" s="26"/>
      <c r="AD125" s="26"/>
      <c r="AE125" s="26"/>
      <c r="AF125" s="26"/>
      <c r="AG125" s="23"/>
      <c r="AH125" s="23"/>
      <c r="AI125" s="23"/>
      <c r="AJ125" s="23"/>
      <c r="AK125" s="23"/>
      <c r="AL125" s="23"/>
      <c r="AM125" s="26"/>
      <c r="AN125" s="26"/>
      <c r="AO125" s="26"/>
      <c r="AP125" s="26"/>
      <c r="AQ125" s="23"/>
      <c r="AR125" s="23"/>
      <c r="AS125" s="23"/>
      <c r="AT125" s="23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2"/>
      <c r="CA125" s="23"/>
      <c r="CB125" s="23"/>
      <c r="CC125" s="22"/>
      <c r="CD125" s="22"/>
      <c r="CE125" s="23"/>
      <c r="CF125" s="23"/>
      <c r="CG125" s="22"/>
      <c r="CH125" s="23"/>
      <c r="CI125" s="23"/>
      <c r="CJ125" s="22"/>
      <c r="CK125" s="22"/>
      <c r="CM125" s="22"/>
      <c r="CN125" s="23"/>
      <c r="CO125" s="22"/>
    </row>
    <row r="126">
      <c r="G126" s="22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3"/>
      <c r="U126" s="23"/>
      <c r="V126" s="23"/>
      <c r="W126" s="23"/>
      <c r="X126" s="23"/>
      <c r="Y126" s="26"/>
      <c r="Z126" s="26"/>
      <c r="AA126" s="26"/>
      <c r="AB126" s="26"/>
      <c r="AC126" s="26"/>
      <c r="AD126" s="26"/>
      <c r="AE126" s="26"/>
      <c r="AF126" s="26"/>
      <c r="AG126" s="23"/>
      <c r="AH126" s="23"/>
      <c r="AI126" s="23"/>
      <c r="AJ126" s="23"/>
      <c r="AK126" s="23"/>
      <c r="AL126" s="23"/>
      <c r="AM126" s="26"/>
      <c r="AN126" s="26"/>
      <c r="AO126" s="26"/>
      <c r="AP126" s="26"/>
      <c r="AQ126" s="23"/>
      <c r="AR126" s="23"/>
      <c r="AS126" s="23"/>
      <c r="AT126" s="23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2"/>
      <c r="CA126" s="23"/>
      <c r="CB126" s="23"/>
      <c r="CC126" s="22"/>
      <c r="CD126" s="22"/>
      <c r="CE126" s="23"/>
      <c r="CF126" s="23"/>
      <c r="CG126" s="22"/>
      <c r="CH126" s="23"/>
      <c r="CI126" s="23"/>
      <c r="CJ126" s="22"/>
      <c r="CK126" s="22"/>
      <c r="CM126" s="22"/>
      <c r="CN126" s="23"/>
      <c r="CO126" s="22"/>
    </row>
    <row r="127">
      <c r="G127" s="22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3"/>
      <c r="U127" s="23"/>
      <c r="V127" s="23"/>
      <c r="W127" s="23"/>
      <c r="X127" s="23"/>
      <c r="Y127" s="26"/>
      <c r="Z127" s="26"/>
      <c r="AA127" s="26"/>
      <c r="AB127" s="26"/>
      <c r="AC127" s="26"/>
      <c r="AD127" s="26"/>
      <c r="AE127" s="26"/>
      <c r="AF127" s="26"/>
      <c r="AG127" s="23"/>
      <c r="AH127" s="23"/>
      <c r="AI127" s="23"/>
      <c r="AJ127" s="23"/>
      <c r="AK127" s="23"/>
      <c r="AL127" s="23"/>
      <c r="AM127" s="26"/>
      <c r="AN127" s="26"/>
      <c r="AO127" s="26"/>
      <c r="AP127" s="26"/>
      <c r="AQ127" s="23"/>
      <c r="AR127" s="23"/>
      <c r="AS127" s="23"/>
      <c r="AT127" s="23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2"/>
      <c r="CA127" s="23"/>
      <c r="CB127" s="23"/>
      <c r="CC127" s="22"/>
      <c r="CD127" s="22"/>
      <c r="CE127" s="23"/>
      <c r="CF127" s="23"/>
      <c r="CG127" s="22"/>
      <c r="CH127" s="23"/>
      <c r="CI127" s="23"/>
      <c r="CJ127" s="22"/>
      <c r="CK127" s="22"/>
      <c r="CM127" s="22"/>
      <c r="CN127" s="23"/>
      <c r="CO127" s="22"/>
    </row>
    <row r="128">
      <c r="G128" s="22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3"/>
      <c r="U128" s="23"/>
      <c r="V128" s="23"/>
      <c r="W128" s="23"/>
      <c r="X128" s="23"/>
      <c r="Y128" s="26"/>
      <c r="Z128" s="26"/>
      <c r="AA128" s="26"/>
      <c r="AB128" s="26"/>
      <c r="AC128" s="26"/>
      <c r="AD128" s="26"/>
      <c r="AE128" s="26"/>
      <c r="AF128" s="26"/>
      <c r="AG128" s="23"/>
      <c r="AH128" s="23"/>
      <c r="AI128" s="23"/>
      <c r="AJ128" s="23"/>
      <c r="AK128" s="23"/>
      <c r="AL128" s="23"/>
      <c r="AM128" s="26"/>
      <c r="AN128" s="26"/>
      <c r="AO128" s="26"/>
      <c r="AP128" s="26"/>
      <c r="AQ128" s="23"/>
      <c r="AR128" s="23"/>
      <c r="AS128" s="23"/>
      <c r="AT128" s="23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2"/>
      <c r="CA128" s="23"/>
      <c r="CB128" s="23"/>
      <c r="CC128" s="22"/>
      <c r="CD128" s="22"/>
      <c r="CE128" s="23"/>
      <c r="CF128" s="23"/>
      <c r="CG128" s="22"/>
      <c r="CH128" s="23"/>
      <c r="CI128" s="23"/>
      <c r="CJ128" s="22"/>
      <c r="CK128" s="22"/>
      <c r="CM128" s="22"/>
      <c r="CN128" s="23"/>
      <c r="CO128" s="22"/>
    </row>
    <row r="129">
      <c r="G129" s="22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3"/>
      <c r="U129" s="23"/>
      <c r="V129" s="23"/>
      <c r="W129" s="23"/>
      <c r="X129" s="23"/>
      <c r="Y129" s="26"/>
      <c r="Z129" s="26"/>
      <c r="AA129" s="26"/>
      <c r="AB129" s="26"/>
      <c r="AC129" s="26"/>
      <c r="AD129" s="26"/>
      <c r="AE129" s="26"/>
      <c r="AF129" s="26"/>
      <c r="AG129" s="23"/>
      <c r="AH129" s="23"/>
      <c r="AI129" s="23"/>
      <c r="AJ129" s="23"/>
      <c r="AK129" s="23"/>
      <c r="AL129" s="23"/>
      <c r="AM129" s="26"/>
      <c r="AN129" s="26"/>
      <c r="AO129" s="26"/>
      <c r="AP129" s="26"/>
      <c r="AQ129" s="23"/>
      <c r="AR129" s="23"/>
      <c r="AS129" s="23"/>
      <c r="AT129" s="23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2"/>
      <c r="CA129" s="23"/>
      <c r="CB129" s="23"/>
      <c r="CC129" s="22"/>
      <c r="CD129" s="22"/>
      <c r="CE129" s="23"/>
      <c r="CF129" s="23"/>
      <c r="CG129" s="22"/>
      <c r="CH129" s="23"/>
      <c r="CI129" s="23"/>
      <c r="CJ129" s="22"/>
      <c r="CK129" s="22"/>
      <c r="CM129" s="22"/>
      <c r="CN129" s="23"/>
      <c r="CO129" s="22"/>
    </row>
    <row r="130">
      <c r="G130" s="22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3"/>
      <c r="U130" s="23"/>
      <c r="V130" s="23"/>
      <c r="W130" s="23"/>
      <c r="X130" s="23"/>
      <c r="Y130" s="26"/>
      <c r="Z130" s="26"/>
      <c r="AA130" s="26"/>
      <c r="AB130" s="26"/>
      <c r="AC130" s="26"/>
      <c r="AD130" s="26"/>
      <c r="AE130" s="26"/>
      <c r="AF130" s="26"/>
      <c r="AG130" s="23"/>
      <c r="AH130" s="23"/>
      <c r="AI130" s="23"/>
      <c r="AJ130" s="23"/>
      <c r="AK130" s="23"/>
      <c r="AL130" s="23"/>
      <c r="AM130" s="26"/>
      <c r="AN130" s="26"/>
      <c r="AO130" s="26"/>
      <c r="AP130" s="26"/>
      <c r="AQ130" s="23"/>
      <c r="AR130" s="23"/>
      <c r="AS130" s="23"/>
      <c r="AT130" s="23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2"/>
      <c r="CA130" s="23"/>
      <c r="CB130" s="23"/>
      <c r="CC130" s="22"/>
      <c r="CD130" s="22"/>
      <c r="CE130" s="23"/>
      <c r="CF130" s="23"/>
      <c r="CG130" s="22"/>
      <c r="CH130" s="23"/>
      <c r="CI130" s="23"/>
      <c r="CJ130" s="22"/>
      <c r="CK130" s="22"/>
      <c r="CM130" s="22"/>
      <c r="CN130" s="23"/>
      <c r="CO130" s="22"/>
    </row>
    <row r="131">
      <c r="G131" s="22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3"/>
      <c r="U131" s="23"/>
      <c r="V131" s="23"/>
      <c r="W131" s="23"/>
      <c r="X131" s="23"/>
      <c r="Y131" s="26"/>
      <c r="Z131" s="26"/>
      <c r="AA131" s="26"/>
      <c r="AB131" s="26"/>
      <c r="AC131" s="26"/>
      <c r="AD131" s="26"/>
      <c r="AE131" s="26"/>
      <c r="AF131" s="26"/>
      <c r="AG131" s="23"/>
      <c r="AH131" s="23"/>
      <c r="AI131" s="23"/>
      <c r="AJ131" s="23"/>
      <c r="AK131" s="23"/>
      <c r="AL131" s="23"/>
      <c r="AM131" s="26"/>
      <c r="AN131" s="26"/>
      <c r="AO131" s="26"/>
      <c r="AP131" s="26"/>
      <c r="AQ131" s="23"/>
      <c r="AR131" s="23"/>
      <c r="AS131" s="23"/>
      <c r="AT131" s="23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2"/>
      <c r="CA131" s="23"/>
      <c r="CB131" s="23"/>
      <c r="CC131" s="22"/>
      <c r="CD131" s="22"/>
      <c r="CE131" s="23"/>
      <c r="CF131" s="23"/>
      <c r="CG131" s="22"/>
      <c r="CH131" s="23"/>
      <c r="CI131" s="23"/>
      <c r="CJ131" s="22"/>
      <c r="CK131" s="22"/>
      <c r="CM131" s="22"/>
      <c r="CN131" s="23"/>
      <c r="CO131" s="22"/>
    </row>
    <row r="132">
      <c r="G132" s="22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3"/>
      <c r="U132" s="23"/>
      <c r="V132" s="23"/>
      <c r="W132" s="23"/>
      <c r="X132" s="23"/>
      <c r="Y132" s="26"/>
      <c r="Z132" s="26"/>
      <c r="AA132" s="26"/>
      <c r="AB132" s="26"/>
      <c r="AC132" s="26"/>
      <c r="AD132" s="26"/>
      <c r="AE132" s="26"/>
      <c r="AF132" s="26"/>
      <c r="AG132" s="23"/>
      <c r="AH132" s="23"/>
      <c r="AI132" s="23"/>
      <c r="AJ132" s="23"/>
      <c r="AK132" s="23"/>
      <c r="AL132" s="23"/>
      <c r="AM132" s="26"/>
      <c r="AN132" s="26"/>
      <c r="AO132" s="26"/>
      <c r="AP132" s="26"/>
      <c r="AQ132" s="23"/>
      <c r="AR132" s="23"/>
      <c r="AS132" s="23"/>
      <c r="AT132" s="23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2"/>
      <c r="CA132" s="23"/>
      <c r="CB132" s="23"/>
      <c r="CC132" s="22"/>
      <c r="CD132" s="22"/>
      <c r="CE132" s="23"/>
      <c r="CF132" s="23"/>
      <c r="CG132" s="22"/>
      <c r="CH132" s="23"/>
      <c r="CI132" s="23"/>
      <c r="CJ132" s="22"/>
      <c r="CK132" s="22"/>
      <c r="CM132" s="22"/>
      <c r="CN132" s="23"/>
      <c r="CO132" s="22"/>
    </row>
    <row r="133">
      <c r="G133" s="22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3"/>
      <c r="U133" s="23"/>
      <c r="V133" s="23"/>
      <c r="W133" s="23"/>
      <c r="X133" s="23"/>
      <c r="Y133" s="26"/>
      <c r="Z133" s="26"/>
      <c r="AA133" s="26"/>
      <c r="AB133" s="26"/>
      <c r="AC133" s="26"/>
      <c r="AD133" s="26"/>
      <c r="AE133" s="26"/>
      <c r="AF133" s="26"/>
      <c r="AG133" s="23"/>
      <c r="AH133" s="23"/>
      <c r="AI133" s="23"/>
      <c r="AJ133" s="23"/>
      <c r="AK133" s="23"/>
      <c r="AL133" s="23"/>
      <c r="AM133" s="26"/>
      <c r="AN133" s="26"/>
      <c r="AO133" s="26"/>
      <c r="AP133" s="26"/>
      <c r="AQ133" s="23"/>
      <c r="AR133" s="23"/>
      <c r="AS133" s="23"/>
      <c r="AT133" s="23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2"/>
      <c r="CA133" s="23"/>
      <c r="CB133" s="23"/>
      <c r="CC133" s="22"/>
      <c r="CD133" s="22"/>
      <c r="CE133" s="23"/>
      <c r="CF133" s="23"/>
      <c r="CG133" s="22"/>
      <c r="CH133" s="23"/>
      <c r="CI133" s="23"/>
      <c r="CJ133" s="22"/>
      <c r="CK133" s="22"/>
      <c r="CM133" s="22"/>
      <c r="CN133" s="23"/>
      <c r="CO133" s="22"/>
    </row>
    <row r="134">
      <c r="G134" s="22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3"/>
      <c r="U134" s="23"/>
      <c r="V134" s="23"/>
      <c r="W134" s="23"/>
      <c r="X134" s="23"/>
      <c r="Y134" s="26"/>
      <c r="Z134" s="26"/>
      <c r="AA134" s="26"/>
      <c r="AB134" s="26"/>
      <c r="AC134" s="26"/>
      <c r="AD134" s="26"/>
      <c r="AE134" s="26"/>
      <c r="AF134" s="26"/>
      <c r="AG134" s="23"/>
      <c r="AH134" s="23"/>
      <c r="AI134" s="23"/>
      <c r="AJ134" s="23"/>
      <c r="AK134" s="23"/>
      <c r="AL134" s="23"/>
      <c r="AM134" s="26"/>
      <c r="AN134" s="26"/>
      <c r="AO134" s="26"/>
      <c r="AP134" s="26"/>
      <c r="AQ134" s="23"/>
      <c r="AR134" s="23"/>
      <c r="AS134" s="23"/>
      <c r="AT134" s="23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2"/>
      <c r="CA134" s="23"/>
      <c r="CB134" s="23"/>
      <c r="CC134" s="22"/>
      <c r="CD134" s="22"/>
      <c r="CE134" s="23"/>
      <c r="CF134" s="23"/>
      <c r="CG134" s="22"/>
      <c r="CH134" s="23"/>
      <c r="CI134" s="23"/>
      <c r="CJ134" s="22"/>
      <c r="CK134" s="22"/>
      <c r="CM134" s="22"/>
      <c r="CN134" s="23"/>
      <c r="CO134" s="22"/>
    </row>
    <row r="135">
      <c r="G135" s="22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3"/>
      <c r="U135" s="23"/>
      <c r="V135" s="23"/>
      <c r="W135" s="23"/>
      <c r="X135" s="23"/>
      <c r="Y135" s="26"/>
      <c r="Z135" s="26"/>
      <c r="AA135" s="26"/>
      <c r="AB135" s="26"/>
      <c r="AC135" s="26"/>
      <c r="AD135" s="26"/>
      <c r="AE135" s="26"/>
      <c r="AF135" s="26"/>
      <c r="AG135" s="23"/>
      <c r="AH135" s="23"/>
      <c r="AI135" s="23"/>
      <c r="AJ135" s="23"/>
      <c r="AK135" s="23"/>
      <c r="AL135" s="23"/>
      <c r="AM135" s="26"/>
      <c r="AN135" s="26"/>
      <c r="AO135" s="26"/>
      <c r="AP135" s="26"/>
      <c r="AQ135" s="23"/>
      <c r="AR135" s="23"/>
      <c r="AS135" s="23"/>
      <c r="AT135" s="23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2"/>
      <c r="CA135" s="23"/>
      <c r="CB135" s="23"/>
      <c r="CC135" s="22"/>
      <c r="CD135" s="22"/>
      <c r="CE135" s="23"/>
      <c r="CF135" s="23"/>
      <c r="CG135" s="22"/>
      <c r="CH135" s="23"/>
      <c r="CI135" s="23"/>
      <c r="CJ135" s="22"/>
      <c r="CK135" s="22"/>
      <c r="CM135" s="22"/>
      <c r="CN135" s="23"/>
      <c r="CO135" s="22"/>
    </row>
    <row r="136">
      <c r="G136" s="22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3"/>
      <c r="U136" s="23"/>
      <c r="V136" s="23"/>
      <c r="W136" s="23"/>
      <c r="X136" s="23"/>
      <c r="Y136" s="26"/>
      <c r="Z136" s="26"/>
      <c r="AA136" s="26"/>
      <c r="AB136" s="26"/>
      <c r="AC136" s="26"/>
      <c r="AD136" s="26"/>
      <c r="AE136" s="26"/>
      <c r="AF136" s="26"/>
      <c r="AG136" s="23"/>
      <c r="AH136" s="23"/>
      <c r="AI136" s="23"/>
      <c r="AJ136" s="23"/>
      <c r="AK136" s="23"/>
      <c r="AL136" s="23"/>
      <c r="AM136" s="26"/>
      <c r="AN136" s="26"/>
      <c r="AO136" s="26"/>
      <c r="AP136" s="26"/>
      <c r="AQ136" s="23"/>
      <c r="AR136" s="23"/>
      <c r="AS136" s="23"/>
      <c r="AT136" s="23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2"/>
      <c r="CA136" s="23"/>
      <c r="CB136" s="23"/>
      <c r="CC136" s="22"/>
      <c r="CD136" s="22"/>
      <c r="CE136" s="23"/>
      <c r="CF136" s="23"/>
      <c r="CG136" s="22"/>
      <c r="CH136" s="23"/>
      <c r="CI136" s="23"/>
      <c r="CJ136" s="22"/>
      <c r="CK136" s="22"/>
      <c r="CM136" s="22"/>
      <c r="CN136" s="23"/>
      <c r="CO136" s="22"/>
    </row>
    <row r="137">
      <c r="G137" s="22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3"/>
      <c r="U137" s="23"/>
      <c r="V137" s="23"/>
      <c r="W137" s="23"/>
      <c r="X137" s="23"/>
      <c r="Y137" s="26"/>
      <c r="Z137" s="26"/>
      <c r="AA137" s="26"/>
      <c r="AB137" s="26"/>
      <c r="AC137" s="26"/>
      <c r="AD137" s="26"/>
      <c r="AE137" s="26"/>
      <c r="AF137" s="26"/>
      <c r="AG137" s="23"/>
      <c r="AH137" s="23"/>
      <c r="AI137" s="23"/>
      <c r="AJ137" s="23"/>
      <c r="AK137" s="23"/>
      <c r="AL137" s="23"/>
      <c r="AM137" s="26"/>
      <c r="AN137" s="26"/>
      <c r="AO137" s="26"/>
      <c r="AP137" s="26"/>
      <c r="AQ137" s="23"/>
      <c r="AR137" s="23"/>
      <c r="AS137" s="23"/>
      <c r="AT137" s="23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2"/>
      <c r="CA137" s="23"/>
      <c r="CB137" s="23"/>
      <c r="CC137" s="22"/>
      <c r="CD137" s="22"/>
      <c r="CE137" s="23"/>
      <c r="CF137" s="23"/>
      <c r="CG137" s="22"/>
      <c r="CH137" s="23"/>
      <c r="CI137" s="23"/>
      <c r="CJ137" s="22"/>
      <c r="CK137" s="22"/>
      <c r="CM137" s="22"/>
      <c r="CN137" s="23"/>
      <c r="CO137" s="22"/>
    </row>
    <row r="138">
      <c r="G138" s="22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3"/>
      <c r="U138" s="23"/>
      <c r="V138" s="23"/>
      <c r="W138" s="23"/>
      <c r="X138" s="23"/>
      <c r="Y138" s="26"/>
      <c r="Z138" s="26"/>
      <c r="AA138" s="26"/>
      <c r="AB138" s="26"/>
      <c r="AC138" s="26"/>
      <c r="AD138" s="26"/>
      <c r="AE138" s="26"/>
      <c r="AF138" s="26"/>
      <c r="AG138" s="23"/>
      <c r="AH138" s="23"/>
      <c r="AI138" s="23"/>
      <c r="AJ138" s="23"/>
      <c r="AK138" s="23"/>
      <c r="AL138" s="23"/>
      <c r="AM138" s="26"/>
      <c r="AN138" s="26"/>
      <c r="AO138" s="26"/>
      <c r="AP138" s="26"/>
      <c r="AQ138" s="23"/>
      <c r="AR138" s="23"/>
      <c r="AS138" s="23"/>
      <c r="AT138" s="23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2"/>
      <c r="CA138" s="23"/>
      <c r="CB138" s="23"/>
      <c r="CC138" s="22"/>
      <c r="CD138" s="22"/>
      <c r="CE138" s="23"/>
      <c r="CF138" s="23"/>
      <c r="CG138" s="22"/>
      <c r="CH138" s="23"/>
      <c r="CI138" s="23"/>
      <c r="CJ138" s="22"/>
      <c r="CK138" s="22"/>
      <c r="CM138" s="22"/>
      <c r="CN138" s="23"/>
      <c r="CO138" s="22"/>
    </row>
    <row r="139">
      <c r="G139" s="22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3"/>
      <c r="U139" s="23"/>
      <c r="V139" s="23"/>
      <c r="W139" s="23"/>
      <c r="X139" s="23"/>
      <c r="Y139" s="26"/>
      <c r="Z139" s="26"/>
      <c r="AA139" s="26"/>
      <c r="AB139" s="26"/>
      <c r="AC139" s="26"/>
      <c r="AD139" s="26"/>
      <c r="AE139" s="26"/>
      <c r="AF139" s="26"/>
      <c r="AG139" s="23"/>
      <c r="AH139" s="23"/>
      <c r="AI139" s="23"/>
      <c r="AJ139" s="23"/>
      <c r="AK139" s="23"/>
      <c r="AL139" s="23"/>
      <c r="AM139" s="26"/>
      <c r="AN139" s="26"/>
      <c r="AO139" s="26"/>
      <c r="AP139" s="26"/>
      <c r="AQ139" s="23"/>
      <c r="AR139" s="23"/>
      <c r="AS139" s="23"/>
      <c r="AT139" s="23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2"/>
      <c r="CA139" s="23"/>
      <c r="CB139" s="23"/>
      <c r="CC139" s="22"/>
      <c r="CD139" s="22"/>
      <c r="CE139" s="23"/>
      <c r="CF139" s="23"/>
      <c r="CG139" s="22"/>
      <c r="CH139" s="23"/>
      <c r="CI139" s="23"/>
      <c r="CJ139" s="22"/>
      <c r="CK139" s="22"/>
      <c r="CM139" s="22"/>
      <c r="CN139" s="23"/>
      <c r="CO139" s="22"/>
    </row>
    <row r="140">
      <c r="G140" s="22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3"/>
      <c r="U140" s="23"/>
      <c r="V140" s="23"/>
      <c r="W140" s="23"/>
      <c r="X140" s="23"/>
      <c r="Y140" s="26"/>
      <c r="Z140" s="26"/>
      <c r="AA140" s="26"/>
      <c r="AB140" s="26"/>
      <c r="AC140" s="26"/>
      <c r="AD140" s="26"/>
      <c r="AE140" s="26"/>
      <c r="AF140" s="26"/>
      <c r="AG140" s="23"/>
      <c r="AH140" s="23"/>
      <c r="AI140" s="23"/>
      <c r="AJ140" s="23"/>
      <c r="AK140" s="23"/>
      <c r="AL140" s="23"/>
      <c r="AM140" s="26"/>
      <c r="AN140" s="26"/>
      <c r="AO140" s="26"/>
      <c r="AP140" s="26"/>
      <c r="AQ140" s="23"/>
      <c r="AR140" s="23"/>
      <c r="AS140" s="23"/>
      <c r="AT140" s="23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2"/>
      <c r="CA140" s="23"/>
      <c r="CB140" s="23"/>
      <c r="CC140" s="22"/>
      <c r="CD140" s="22"/>
      <c r="CE140" s="23"/>
      <c r="CF140" s="23"/>
      <c r="CG140" s="22"/>
      <c r="CH140" s="23"/>
      <c r="CI140" s="23"/>
      <c r="CJ140" s="22"/>
      <c r="CK140" s="22"/>
      <c r="CM140" s="22"/>
      <c r="CN140" s="23"/>
      <c r="CO140" s="22"/>
    </row>
    <row r="141">
      <c r="G141" s="22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3"/>
      <c r="U141" s="23"/>
      <c r="V141" s="23"/>
      <c r="W141" s="23"/>
      <c r="X141" s="23"/>
      <c r="Y141" s="26"/>
      <c r="Z141" s="26"/>
      <c r="AA141" s="26"/>
      <c r="AB141" s="26"/>
      <c r="AC141" s="26"/>
      <c r="AD141" s="26"/>
      <c r="AE141" s="26"/>
      <c r="AF141" s="26"/>
      <c r="AG141" s="23"/>
      <c r="AH141" s="23"/>
      <c r="AI141" s="23"/>
      <c r="AJ141" s="23"/>
      <c r="AK141" s="23"/>
      <c r="AL141" s="23"/>
      <c r="AM141" s="26"/>
      <c r="AN141" s="26"/>
      <c r="AO141" s="26"/>
      <c r="AP141" s="26"/>
      <c r="AQ141" s="23"/>
      <c r="AR141" s="23"/>
      <c r="AS141" s="23"/>
      <c r="AT141" s="23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2"/>
      <c r="CA141" s="23"/>
      <c r="CB141" s="23"/>
      <c r="CC141" s="22"/>
      <c r="CD141" s="22"/>
      <c r="CE141" s="23"/>
      <c r="CF141" s="23"/>
      <c r="CG141" s="22"/>
      <c r="CH141" s="23"/>
      <c r="CI141" s="23"/>
      <c r="CJ141" s="22"/>
      <c r="CK141" s="22"/>
      <c r="CM141" s="22"/>
      <c r="CN141" s="23"/>
      <c r="CO141" s="22"/>
    </row>
    <row r="142">
      <c r="G142" s="22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3"/>
      <c r="U142" s="23"/>
      <c r="V142" s="23"/>
      <c r="W142" s="23"/>
      <c r="X142" s="23"/>
      <c r="Y142" s="26"/>
      <c r="Z142" s="26"/>
      <c r="AA142" s="26"/>
      <c r="AB142" s="26"/>
      <c r="AC142" s="26"/>
      <c r="AD142" s="26"/>
      <c r="AE142" s="26"/>
      <c r="AF142" s="26"/>
      <c r="AG142" s="23"/>
      <c r="AH142" s="23"/>
      <c r="AI142" s="23"/>
      <c r="AJ142" s="23"/>
      <c r="AK142" s="23"/>
      <c r="AL142" s="23"/>
      <c r="AM142" s="26"/>
      <c r="AN142" s="26"/>
      <c r="AO142" s="26"/>
      <c r="AP142" s="26"/>
      <c r="AQ142" s="23"/>
      <c r="AR142" s="23"/>
      <c r="AS142" s="23"/>
      <c r="AT142" s="23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2"/>
      <c r="CA142" s="23"/>
      <c r="CB142" s="23"/>
      <c r="CC142" s="22"/>
      <c r="CD142" s="22"/>
      <c r="CE142" s="23"/>
      <c r="CF142" s="23"/>
      <c r="CG142" s="22"/>
      <c r="CH142" s="23"/>
      <c r="CI142" s="23"/>
      <c r="CJ142" s="22"/>
      <c r="CK142" s="22"/>
      <c r="CM142" s="22"/>
      <c r="CN142" s="23"/>
      <c r="CO142" s="22"/>
    </row>
    <row r="143">
      <c r="G143" s="22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3"/>
      <c r="U143" s="23"/>
      <c r="V143" s="23"/>
      <c r="W143" s="23"/>
      <c r="X143" s="23"/>
      <c r="Y143" s="26"/>
      <c r="Z143" s="26"/>
      <c r="AA143" s="26"/>
      <c r="AB143" s="26"/>
      <c r="AC143" s="26"/>
      <c r="AD143" s="26"/>
      <c r="AE143" s="26"/>
      <c r="AF143" s="26"/>
      <c r="AG143" s="23"/>
      <c r="AH143" s="23"/>
      <c r="AI143" s="23"/>
      <c r="AJ143" s="23"/>
      <c r="AK143" s="23"/>
      <c r="AL143" s="23"/>
      <c r="AM143" s="26"/>
      <c r="AN143" s="26"/>
      <c r="AO143" s="26"/>
      <c r="AP143" s="26"/>
      <c r="AQ143" s="23"/>
      <c r="AR143" s="23"/>
      <c r="AS143" s="23"/>
      <c r="AT143" s="23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2"/>
      <c r="CA143" s="23"/>
      <c r="CB143" s="23"/>
      <c r="CC143" s="22"/>
      <c r="CD143" s="22"/>
      <c r="CE143" s="23"/>
      <c r="CF143" s="23"/>
      <c r="CG143" s="22"/>
      <c r="CH143" s="23"/>
      <c r="CI143" s="23"/>
      <c r="CJ143" s="22"/>
      <c r="CK143" s="22"/>
      <c r="CM143" s="22"/>
      <c r="CN143" s="23"/>
      <c r="CO143" s="22"/>
    </row>
    <row r="144">
      <c r="G144" s="22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3"/>
      <c r="U144" s="23"/>
      <c r="V144" s="23"/>
      <c r="W144" s="23"/>
      <c r="X144" s="23"/>
      <c r="Y144" s="26"/>
      <c r="Z144" s="26"/>
      <c r="AA144" s="26"/>
      <c r="AB144" s="26"/>
      <c r="AC144" s="26"/>
      <c r="AD144" s="26"/>
      <c r="AE144" s="26"/>
      <c r="AF144" s="26"/>
      <c r="AG144" s="23"/>
      <c r="AH144" s="23"/>
      <c r="AI144" s="23"/>
      <c r="AJ144" s="23"/>
      <c r="AK144" s="23"/>
      <c r="AL144" s="23"/>
      <c r="AM144" s="26"/>
      <c r="AN144" s="26"/>
      <c r="AO144" s="26"/>
      <c r="AP144" s="26"/>
      <c r="AQ144" s="23"/>
      <c r="AR144" s="23"/>
      <c r="AS144" s="23"/>
      <c r="AT144" s="23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2"/>
      <c r="CA144" s="23"/>
      <c r="CB144" s="23"/>
      <c r="CC144" s="22"/>
      <c r="CD144" s="22"/>
      <c r="CE144" s="23"/>
      <c r="CF144" s="23"/>
      <c r="CG144" s="22"/>
      <c r="CH144" s="23"/>
      <c r="CI144" s="23"/>
      <c r="CJ144" s="22"/>
      <c r="CK144" s="22"/>
      <c r="CM144" s="22"/>
      <c r="CN144" s="23"/>
      <c r="CO144" s="22"/>
    </row>
    <row r="145">
      <c r="G145" s="22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3"/>
      <c r="U145" s="23"/>
      <c r="V145" s="23"/>
      <c r="W145" s="23"/>
      <c r="X145" s="23"/>
      <c r="Y145" s="26"/>
      <c r="Z145" s="26"/>
      <c r="AA145" s="26"/>
      <c r="AB145" s="26"/>
      <c r="AC145" s="26"/>
      <c r="AD145" s="26"/>
      <c r="AE145" s="26"/>
      <c r="AF145" s="26"/>
      <c r="AG145" s="23"/>
      <c r="AH145" s="23"/>
      <c r="AI145" s="23"/>
      <c r="AJ145" s="23"/>
      <c r="AK145" s="23"/>
      <c r="AL145" s="23"/>
      <c r="AM145" s="26"/>
      <c r="AN145" s="26"/>
      <c r="AO145" s="26"/>
      <c r="AP145" s="26"/>
      <c r="AQ145" s="23"/>
      <c r="AR145" s="23"/>
      <c r="AS145" s="23"/>
      <c r="AT145" s="23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2"/>
      <c r="CA145" s="23"/>
      <c r="CB145" s="23"/>
      <c r="CC145" s="22"/>
      <c r="CD145" s="22"/>
      <c r="CE145" s="23"/>
      <c r="CF145" s="23"/>
      <c r="CG145" s="22"/>
      <c r="CH145" s="23"/>
      <c r="CI145" s="23"/>
      <c r="CJ145" s="22"/>
      <c r="CK145" s="22"/>
      <c r="CM145" s="22"/>
      <c r="CN145" s="23"/>
      <c r="CO145" s="22"/>
    </row>
    <row r="146">
      <c r="G146" s="22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3"/>
      <c r="U146" s="23"/>
      <c r="V146" s="23"/>
      <c r="W146" s="23"/>
      <c r="X146" s="23"/>
      <c r="Y146" s="26"/>
      <c r="Z146" s="26"/>
      <c r="AA146" s="26"/>
      <c r="AB146" s="26"/>
      <c r="AC146" s="26"/>
      <c r="AD146" s="26"/>
      <c r="AE146" s="26"/>
      <c r="AF146" s="26"/>
      <c r="AG146" s="23"/>
      <c r="AH146" s="23"/>
      <c r="AI146" s="23"/>
      <c r="AJ146" s="23"/>
      <c r="AK146" s="23"/>
      <c r="AL146" s="23"/>
      <c r="AM146" s="26"/>
      <c r="AN146" s="26"/>
      <c r="AO146" s="26"/>
      <c r="AP146" s="26"/>
      <c r="AQ146" s="23"/>
      <c r="AR146" s="23"/>
      <c r="AS146" s="23"/>
      <c r="AT146" s="23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2"/>
      <c r="CA146" s="23"/>
      <c r="CB146" s="23"/>
      <c r="CC146" s="22"/>
      <c r="CD146" s="22"/>
      <c r="CE146" s="23"/>
      <c r="CF146" s="23"/>
      <c r="CG146" s="22"/>
      <c r="CH146" s="23"/>
      <c r="CI146" s="23"/>
      <c r="CJ146" s="22"/>
      <c r="CK146" s="22"/>
      <c r="CM146" s="22"/>
      <c r="CN146" s="23"/>
      <c r="CO146" s="22"/>
    </row>
    <row r="147">
      <c r="G147" s="22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3"/>
      <c r="U147" s="23"/>
      <c r="V147" s="23"/>
      <c r="W147" s="23"/>
      <c r="X147" s="23"/>
      <c r="Y147" s="26"/>
      <c r="Z147" s="26"/>
      <c r="AA147" s="26"/>
      <c r="AB147" s="26"/>
      <c r="AC147" s="26"/>
      <c r="AD147" s="26"/>
      <c r="AE147" s="26"/>
      <c r="AF147" s="26"/>
      <c r="AG147" s="23"/>
      <c r="AH147" s="23"/>
      <c r="AI147" s="23"/>
      <c r="AJ147" s="23"/>
      <c r="AK147" s="23"/>
      <c r="AL147" s="23"/>
      <c r="AM147" s="26"/>
      <c r="AN147" s="26"/>
      <c r="AO147" s="26"/>
      <c r="AP147" s="26"/>
      <c r="AQ147" s="23"/>
      <c r="AR147" s="23"/>
      <c r="AS147" s="23"/>
      <c r="AT147" s="23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2"/>
      <c r="CA147" s="23"/>
      <c r="CB147" s="23"/>
      <c r="CC147" s="22"/>
      <c r="CD147" s="22"/>
      <c r="CE147" s="23"/>
      <c r="CF147" s="23"/>
      <c r="CG147" s="22"/>
      <c r="CH147" s="23"/>
      <c r="CI147" s="23"/>
      <c r="CJ147" s="22"/>
      <c r="CK147" s="22"/>
      <c r="CM147" s="22"/>
      <c r="CN147" s="23"/>
      <c r="CO147" s="22"/>
    </row>
    <row r="148">
      <c r="G148" s="22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3"/>
      <c r="U148" s="23"/>
      <c r="V148" s="23"/>
      <c r="W148" s="23"/>
      <c r="X148" s="23"/>
      <c r="Y148" s="26"/>
      <c r="Z148" s="26"/>
      <c r="AA148" s="26"/>
      <c r="AB148" s="26"/>
      <c r="AC148" s="26"/>
      <c r="AD148" s="26"/>
      <c r="AE148" s="26"/>
      <c r="AF148" s="26"/>
      <c r="AG148" s="23"/>
      <c r="AH148" s="23"/>
      <c r="AI148" s="23"/>
      <c r="AJ148" s="23"/>
      <c r="AK148" s="23"/>
      <c r="AL148" s="23"/>
      <c r="AM148" s="26"/>
      <c r="AN148" s="26"/>
      <c r="AO148" s="26"/>
      <c r="AP148" s="26"/>
      <c r="AQ148" s="23"/>
      <c r="AR148" s="23"/>
      <c r="AS148" s="23"/>
      <c r="AT148" s="23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2"/>
      <c r="CA148" s="23"/>
      <c r="CB148" s="23"/>
      <c r="CC148" s="22"/>
      <c r="CD148" s="22"/>
      <c r="CE148" s="23"/>
      <c r="CF148" s="23"/>
      <c r="CG148" s="22"/>
      <c r="CH148" s="23"/>
      <c r="CI148" s="23"/>
      <c r="CJ148" s="22"/>
      <c r="CK148" s="22"/>
      <c r="CM148" s="22"/>
      <c r="CN148" s="23"/>
      <c r="CO148" s="22"/>
    </row>
    <row r="149">
      <c r="G149" s="22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3"/>
      <c r="U149" s="23"/>
      <c r="V149" s="23"/>
      <c r="W149" s="23"/>
      <c r="X149" s="23"/>
      <c r="Y149" s="26"/>
      <c r="Z149" s="26"/>
      <c r="AA149" s="26"/>
      <c r="AB149" s="26"/>
      <c r="AC149" s="26"/>
      <c r="AD149" s="26"/>
      <c r="AE149" s="26"/>
      <c r="AF149" s="26"/>
      <c r="AG149" s="23"/>
      <c r="AH149" s="23"/>
      <c r="AI149" s="23"/>
      <c r="AJ149" s="23"/>
      <c r="AK149" s="23"/>
      <c r="AL149" s="23"/>
      <c r="AM149" s="26"/>
      <c r="AN149" s="26"/>
      <c r="AO149" s="26"/>
      <c r="AP149" s="26"/>
      <c r="AQ149" s="23"/>
      <c r="AR149" s="23"/>
      <c r="AS149" s="23"/>
      <c r="AT149" s="23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2"/>
      <c r="CA149" s="23"/>
      <c r="CB149" s="23"/>
      <c r="CC149" s="22"/>
      <c r="CD149" s="22"/>
      <c r="CE149" s="23"/>
      <c r="CF149" s="23"/>
      <c r="CG149" s="22"/>
      <c r="CH149" s="23"/>
      <c r="CI149" s="23"/>
      <c r="CJ149" s="22"/>
      <c r="CK149" s="22"/>
      <c r="CM149" s="22"/>
      <c r="CN149" s="23"/>
      <c r="CO149" s="22"/>
    </row>
    <row r="150">
      <c r="G150" s="22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3"/>
      <c r="U150" s="23"/>
      <c r="V150" s="23"/>
      <c r="W150" s="23"/>
      <c r="X150" s="23"/>
      <c r="Y150" s="26"/>
      <c r="Z150" s="26"/>
      <c r="AA150" s="26"/>
      <c r="AB150" s="26"/>
      <c r="AC150" s="26"/>
      <c r="AD150" s="26"/>
      <c r="AE150" s="26"/>
      <c r="AF150" s="26"/>
      <c r="AG150" s="23"/>
      <c r="AH150" s="23"/>
      <c r="AI150" s="23"/>
      <c r="AJ150" s="23"/>
      <c r="AK150" s="23"/>
      <c r="AL150" s="23"/>
      <c r="AM150" s="26"/>
      <c r="AN150" s="26"/>
      <c r="AO150" s="26"/>
      <c r="AP150" s="26"/>
      <c r="AQ150" s="23"/>
      <c r="AR150" s="23"/>
      <c r="AS150" s="23"/>
      <c r="AT150" s="23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2"/>
      <c r="CA150" s="23"/>
      <c r="CB150" s="23"/>
      <c r="CC150" s="22"/>
      <c r="CD150" s="22"/>
      <c r="CE150" s="23"/>
      <c r="CF150" s="23"/>
      <c r="CG150" s="22"/>
      <c r="CH150" s="23"/>
      <c r="CI150" s="23"/>
      <c r="CJ150" s="22"/>
      <c r="CK150" s="22"/>
      <c r="CM150" s="22"/>
      <c r="CN150" s="23"/>
      <c r="CO150" s="22"/>
    </row>
    <row r="151">
      <c r="G151" s="22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3"/>
      <c r="U151" s="23"/>
      <c r="V151" s="23"/>
      <c r="W151" s="23"/>
      <c r="X151" s="23"/>
      <c r="Y151" s="26"/>
      <c r="Z151" s="26"/>
      <c r="AA151" s="26"/>
      <c r="AB151" s="26"/>
      <c r="AC151" s="26"/>
      <c r="AD151" s="26"/>
      <c r="AE151" s="26"/>
      <c r="AF151" s="26"/>
      <c r="AG151" s="23"/>
      <c r="AH151" s="23"/>
      <c r="AI151" s="23"/>
      <c r="AJ151" s="23"/>
      <c r="AK151" s="23"/>
      <c r="AL151" s="23"/>
      <c r="AM151" s="26"/>
      <c r="AN151" s="26"/>
      <c r="AO151" s="26"/>
      <c r="AP151" s="26"/>
      <c r="AQ151" s="23"/>
      <c r="AR151" s="23"/>
      <c r="AS151" s="23"/>
      <c r="AT151" s="23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2"/>
      <c r="CA151" s="23"/>
      <c r="CB151" s="23"/>
      <c r="CC151" s="22"/>
      <c r="CD151" s="22"/>
      <c r="CE151" s="23"/>
      <c r="CF151" s="23"/>
      <c r="CG151" s="22"/>
      <c r="CH151" s="23"/>
      <c r="CI151" s="23"/>
      <c r="CJ151" s="22"/>
      <c r="CK151" s="22"/>
      <c r="CM151" s="22"/>
      <c r="CN151" s="23"/>
      <c r="CO151" s="22"/>
    </row>
    <row r="152">
      <c r="G152" s="22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3"/>
      <c r="U152" s="23"/>
      <c r="V152" s="23"/>
      <c r="W152" s="23"/>
      <c r="X152" s="23"/>
      <c r="Y152" s="26"/>
      <c r="Z152" s="26"/>
      <c r="AA152" s="26"/>
      <c r="AB152" s="26"/>
      <c r="AC152" s="26"/>
      <c r="AD152" s="26"/>
      <c r="AE152" s="26"/>
      <c r="AF152" s="26"/>
      <c r="AG152" s="23"/>
      <c r="AH152" s="23"/>
      <c r="AI152" s="23"/>
      <c r="AJ152" s="23"/>
      <c r="AK152" s="23"/>
      <c r="AL152" s="23"/>
      <c r="AM152" s="26"/>
      <c r="AN152" s="26"/>
      <c r="AO152" s="26"/>
      <c r="AP152" s="26"/>
      <c r="AQ152" s="23"/>
      <c r="AR152" s="23"/>
      <c r="AS152" s="23"/>
      <c r="AT152" s="23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2"/>
      <c r="CA152" s="23"/>
      <c r="CB152" s="23"/>
      <c r="CC152" s="22"/>
      <c r="CD152" s="22"/>
      <c r="CE152" s="23"/>
      <c r="CF152" s="23"/>
      <c r="CG152" s="22"/>
      <c r="CH152" s="23"/>
      <c r="CI152" s="23"/>
      <c r="CJ152" s="22"/>
      <c r="CK152" s="22"/>
      <c r="CM152" s="22"/>
      <c r="CN152" s="23"/>
      <c r="CO152" s="22"/>
    </row>
    <row r="153">
      <c r="G153" s="22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3"/>
      <c r="U153" s="23"/>
      <c r="V153" s="23"/>
      <c r="W153" s="23"/>
      <c r="X153" s="23"/>
      <c r="Y153" s="26"/>
      <c r="Z153" s="26"/>
      <c r="AA153" s="26"/>
      <c r="AB153" s="26"/>
      <c r="AC153" s="26"/>
      <c r="AD153" s="26"/>
      <c r="AE153" s="26"/>
      <c r="AF153" s="26"/>
      <c r="AG153" s="23"/>
      <c r="AH153" s="23"/>
      <c r="AI153" s="23"/>
      <c r="AJ153" s="23"/>
      <c r="AK153" s="23"/>
      <c r="AL153" s="23"/>
      <c r="AM153" s="26"/>
      <c r="AN153" s="26"/>
      <c r="AO153" s="26"/>
      <c r="AP153" s="26"/>
      <c r="AQ153" s="23"/>
      <c r="AR153" s="23"/>
      <c r="AS153" s="23"/>
      <c r="AT153" s="23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2"/>
      <c r="CA153" s="23"/>
      <c r="CB153" s="23"/>
      <c r="CC153" s="22"/>
      <c r="CD153" s="22"/>
      <c r="CE153" s="23"/>
      <c r="CF153" s="23"/>
      <c r="CG153" s="22"/>
      <c r="CH153" s="23"/>
      <c r="CI153" s="23"/>
      <c r="CJ153" s="22"/>
      <c r="CK153" s="22"/>
      <c r="CM153" s="22"/>
      <c r="CN153" s="23"/>
      <c r="CO153" s="22"/>
    </row>
    <row r="154">
      <c r="G154" s="22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3"/>
      <c r="U154" s="23"/>
      <c r="V154" s="23"/>
      <c r="W154" s="23"/>
      <c r="X154" s="23"/>
      <c r="Y154" s="26"/>
      <c r="Z154" s="26"/>
      <c r="AA154" s="26"/>
      <c r="AB154" s="26"/>
      <c r="AC154" s="26"/>
      <c r="AD154" s="26"/>
      <c r="AE154" s="26"/>
      <c r="AF154" s="26"/>
      <c r="AG154" s="23"/>
      <c r="AH154" s="23"/>
      <c r="AI154" s="23"/>
      <c r="AJ154" s="23"/>
      <c r="AK154" s="23"/>
      <c r="AL154" s="23"/>
      <c r="AM154" s="26"/>
      <c r="AN154" s="26"/>
      <c r="AO154" s="26"/>
      <c r="AP154" s="26"/>
      <c r="AQ154" s="23"/>
      <c r="AR154" s="23"/>
      <c r="AS154" s="23"/>
      <c r="AT154" s="23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2"/>
      <c r="CA154" s="23"/>
      <c r="CB154" s="23"/>
      <c r="CC154" s="22"/>
      <c r="CD154" s="22"/>
      <c r="CE154" s="23"/>
      <c r="CF154" s="23"/>
      <c r="CG154" s="22"/>
      <c r="CH154" s="23"/>
      <c r="CI154" s="23"/>
      <c r="CJ154" s="22"/>
      <c r="CK154" s="22"/>
      <c r="CM154" s="22"/>
      <c r="CN154" s="23"/>
      <c r="CO154" s="22"/>
    </row>
    <row r="155">
      <c r="G155" s="22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3"/>
      <c r="U155" s="23"/>
      <c r="V155" s="23"/>
      <c r="W155" s="23"/>
      <c r="X155" s="23"/>
      <c r="Y155" s="26"/>
      <c r="Z155" s="26"/>
      <c r="AA155" s="26"/>
      <c r="AB155" s="26"/>
      <c r="AC155" s="26"/>
      <c r="AD155" s="26"/>
      <c r="AE155" s="26"/>
      <c r="AF155" s="26"/>
      <c r="AG155" s="23"/>
      <c r="AH155" s="23"/>
      <c r="AI155" s="23"/>
      <c r="AJ155" s="23"/>
      <c r="AK155" s="23"/>
      <c r="AL155" s="23"/>
      <c r="AM155" s="26"/>
      <c r="AN155" s="26"/>
      <c r="AO155" s="26"/>
      <c r="AP155" s="26"/>
      <c r="AQ155" s="23"/>
      <c r="AR155" s="23"/>
      <c r="AS155" s="23"/>
      <c r="AT155" s="23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2"/>
      <c r="CA155" s="23"/>
      <c r="CB155" s="23"/>
      <c r="CC155" s="22"/>
      <c r="CD155" s="22"/>
      <c r="CE155" s="23"/>
      <c r="CF155" s="23"/>
      <c r="CG155" s="22"/>
      <c r="CH155" s="23"/>
      <c r="CI155" s="23"/>
      <c r="CJ155" s="22"/>
      <c r="CK155" s="22"/>
      <c r="CM155" s="22"/>
      <c r="CN155" s="23"/>
      <c r="CO155" s="22"/>
    </row>
    <row r="156">
      <c r="G156" s="22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3"/>
      <c r="U156" s="23"/>
      <c r="V156" s="23"/>
      <c r="W156" s="23"/>
      <c r="X156" s="23"/>
      <c r="Y156" s="26"/>
      <c r="Z156" s="26"/>
      <c r="AA156" s="26"/>
      <c r="AB156" s="26"/>
      <c r="AC156" s="26"/>
      <c r="AD156" s="26"/>
      <c r="AE156" s="26"/>
      <c r="AF156" s="26"/>
      <c r="AG156" s="23"/>
      <c r="AH156" s="23"/>
      <c r="AI156" s="23"/>
      <c r="AJ156" s="23"/>
      <c r="AK156" s="23"/>
      <c r="AL156" s="23"/>
      <c r="AM156" s="26"/>
      <c r="AN156" s="26"/>
      <c r="AO156" s="26"/>
      <c r="AP156" s="26"/>
      <c r="AQ156" s="23"/>
      <c r="AR156" s="23"/>
      <c r="AS156" s="23"/>
      <c r="AT156" s="23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2"/>
      <c r="CA156" s="23"/>
      <c r="CB156" s="23"/>
      <c r="CC156" s="22"/>
      <c r="CD156" s="22"/>
      <c r="CE156" s="23"/>
      <c r="CF156" s="23"/>
      <c r="CG156" s="22"/>
      <c r="CH156" s="23"/>
      <c r="CI156" s="23"/>
      <c r="CJ156" s="22"/>
      <c r="CK156" s="22"/>
      <c r="CM156" s="22"/>
      <c r="CN156" s="23"/>
      <c r="CO156" s="22"/>
    </row>
    <row r="157">
      <c r="G157" s="22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3"/>
      <c r="U157" s="23"/>
      <c r="V157" s="23"/>
      <c r="W157" s="23"/>
      <c r="X157" s="23"/>
      <c r="Y157" s="26"/>
      <c r="Z157" s="26"/>
      <c r="AA157" s="26"/>
      <c r="AB157" s="26"/>
      <c r="AC157" s="26"/>
      <c r="AD157" s="26"/>
      <c r="AE157" s="26"/>
      <c r="AF157" s="26"/>
      <c r="AG157" s="23"/>
      <c r="AH157" s="23"/>
      <c r="AI157" s="23"/>
      <c r="AJ157" s="23"/>
      <c r="AK157" s="23"/>
      <c r="AL157" s="23"/>
      <c r="AM157" s="26"/>
      <c r="AN157" s="26"/>
      <c r="AO157" s="26"/>
      <c r="AP157" s="26"/>
      <c r="AQ157" s="23"/>
      <c r="AR157" s="23"/>
      <c r="AS157" s="23"/>
      <c r="AT157" s="23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2"/>
      <c r="CA157" s="23"/>
      <c r="CB157" s="23"/>
      <c r="CC157" s="22"/>
      <c r="CD157" s="22"/>
      <c r="CE157" s="23"/>
      <c r="CF157" s="23"/>
      <c r="CG157" s="22"/>
      <c r="CH157" s="23"/>
      <c r="CI157" s="23"/>
      <c r="CJ157" s="22"/>
      <c r="CK157" s="22"/>
      <c r="CM157" s="22"/>
      <c r="CN157" s="23"/>
      <c r="CO157" s="22"/>
    </row>
    <row r="158">
      <c r="G158" s="22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3"/>
      <c r="U158" s="23"/>
      <c r="V158" s="23"/>
      <c r="W158" s="23"/>
      <c r="X158" s="23"/>
      <c r="Y158" s="26"/>
      <c r="Z158" s="26"/>
      <c r="AA158" s="26"/>
      <c r="AB158" s="26"/>
      <c r="AC158" s="26"/>
      <c r="AD158" s="26"/>
      <c r="AE158" s="26"/>
      <c r="AF158" s="26"/>
      <c r="AG158" s="23"/>
      <c r="AH158" s="23"/>
      <c r="AI158" s="23"/>
      <c r="AJ158" s="23"/>
      <c r="AK158" s="23"/>
      <c r="AL158" s="23"/>
      <c r="AM158" s="26"/>
      <c r="AN158" s="26"/>
      <c r="AO158" s="26"/>
      <c r="AP158" s="26"/>
      <c r="AQ158" s="23"/>
      <c r="AR158" s="23"/>
      <c r="AS158" s="23"/>
      <c r="AT158" s="23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2"/>
      <c r="CA158" s="23"/>
      <c r="CB158" s="23"/>
      <c r="CC158" s="22"/>
      <c r="CD158" s="22"/>
      <c r="CE158" s="23"/>
      <c r="CF158" s="23"/>
      <c r="CG158" s="22"/>
      <c r="CH158" s="23"/>
      <c r="CI158" s="23"/>
      <c r="CJ158" s="22"/>
      <c r="CK158" s="22"/>
      <c r="CM158" s="22"/>
      <c r="CN158" s="23"/>
      <c r="CO158" s="22"/>
    </row>
    <row r="159">
      <c r="G159" s="22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3"/>
      <c r="U159" s="23"/>
      <c r="V159" s="23"/>
      <c r="W159" s="23"/>
      <c r="X159" s="23"/>
      <c r="Y159" s="26"/>
      <c r="Z159" s="26"/>
      <c r="AA159" s="26"/>
      <c r="AB159" s="26"/>
      <c r="AC159" s="26"/>
      <c r="AD159" s="26"/>
      <c r="AE159" s="26"/>
      <c r="AF159" s="26"/>
      <c r="AG159" s="23"/>
      <c r="AH159" s="23"/>
      <c r="AI159" s="23"/>
      <c r="AJ159" s="23"/>
      <c r="AK159" s="23"/>
      <c r="AL159" s="23"/>
      <c r="AM159" s="26"/>
      <c r="AN159" s="26"/>
      <c r="AO159" s="26"/>
      <c r="AP159" s="26"/>
      <c r="AQ159" s="23"/>
      <c r="AR159" s="23"/>
      <c r="AS159" s="23"/>
      <c r="AT159" s="23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2"/>
      <c r="CA159" s="23"/>
      <c r="CB159" s="23"/>
      <c r="CC159" s="22"/>
      <c r="CD159" s="22"/>
      <c r="CE159" s="23"/>
      <c r="CF159" s="23"/>
      <c r="CG159" s="22"/>
      <c r="CH159" s="23"/>
      <c r="CI159" s="23"/>
      <c r="CJ159" s="22"/>
      <c r="CK159" s="22"/>
      <c r="CM159" s="22"/>
      <c r="CN159" s="23"/>
      <c r="CO159" s="22"/>
    </row>
    <row r="160">
      <c r="G160" s="22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3"/>
      <c r="U160" s="23"/>
      <c r="V160" s="23"/>
      <c r="W160" s="23"/>
      <c r="X160" s="23"/>
      <c r="Y160" s="26"/>
      <c r="Z160" s="26"/>
      <c r="AA160" s="26"/>
      <c r="AB160" s="26"/>
      <c r="AC160" s="26"/>
      <c r="AD160" s="26"/>
      <c r="AE160" s="26"/>
      <c r="AF160" s="26"/>
      <c r="AG160" s="23"/>
      <c r="AH160" s="23"/>
      <c r="AI160" s="23"/>
      <c r="AJ160" s="23"/>
      <c r="AK160" s="23"/>
      <c r="AL160" s="23"/>
      <c r="AM160" s="26"/>
      <c r="AN160" s="26"/>
      <c r="AO160" s="26"/>
      <c r="AP160" s="26"/>
      <c r="AQ160" s="23"/>
      <c r="AR160" s="23"/>
      <c r="AS160" s="23"/>
      <c r="AT160" s="23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2"/>
      <c r="CA160" s="23"/>
      <c r="CB160" s="23"/>
      <c r="CC160" s="22"/>
      <c r="CD160" s="22"/>
      <c r="CE160" s="23"/>
      <c r="CF160" s="23"/>
      <c r="CG160" s="22"/>
      <c r="CH160" s="23"/>
      <c r="CI160" s="23"/>
      <c r="CJ160" s="22"/>
      <c r="CK160" s="22"/>
      <c r="CM160" s="22"/>
      <c r="CN160" s="23"/>
      <c r="CO160" s="22"/>
    </row>
    <row r="161">
      <c r="G161" s="22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3"/>
      <c r="U161" s="23"/>
      <c r="V161" s="23"/>
      <c r="W161" s="23"/>
      <c r="X161" s="23"/>
      <c r="Y161" s="26"/>
      <c r="Z161" s="26"/>
      <c r="AA161" s="26"/>
      <c r="AB161" s="26"/>
      <c r="AC161" s="26"/>
      <c r="AD161" s="26"/>
      <c r="AE161" s="26"/>
      <c r="AF161" s="26"/>
      <c r="AG161" s="23"/>
      <c r="AH161" s="23"/>
      <c r="AI161" s="23"/>
      <c r="AJ161" s="23"/>
      <c r="AK161" s="23"/>
      <c r="AL161" s="23"/>
      <c r="AM161" s="26"/>
      <c r="AN161" s="26"/>
      <c r="AO161" s="26"/>
      <c r="AP161" s="26"/>
      <c r="AQ161" s="23"/>
      <c r="AR161" s="23"/>
      <c r="AS161" s="23"/>
      <c r="AT161" s="23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2"/>
      <c r="CA161" s="23"/>
      <c r="CB161" s="23"/>
      <c r="CC161" s="22"/>
      <c r="CD161" s="22"/>
      <c r="CE161" s="23"/>
      <c r="CF161" s="23"/>
      <c r="CG161" s="22"/>
      <c r="CH161" s="23"/>
      <c r="CI161" s="23"/>
      <c r="CJ161" s="22"/>
      <c r="CK161" s="22"/>
      <c r="CM161" s="22"/>
      <c r="CN161" s="23"/>
      <c r="CO161" s="22"/>
    </row>
    <row r="162">
      <c r="G162" s="22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3"/>
      <c r="U162" s="23"/>
      <c r="V162" s="23"/>
      <c r="W162" s="23"/>
      <c r="X162" s="23"/>
      <c r="Y162" s="26"/>
      <c r="Z162" s="26"/>
      <c r="AA162" s="26"/>
      <c r="AB162" s="26"/>
      <c r="AC162" s="26"/>
      <c r="AD162" s="26"/>
      <c r="AE162" s="26"/>
      <c r="AF162" s="26"/>
      <c r="AG162" s="23"/>
      <c r="AH162" s="23"/>
      <c r="AI162" s="23"/>
      <c r="AJ162" s="23"/>
      <c r="AK162" s="23"/>
      <c r="AL162" s="23"/>
      <c r="AM162" s="26"/>
      <c r="AN162" s="26"/>
      <c r="AO162" s="26"/>
      <c r="AP162" s="26"/>
      <c r="AQ162" s="23"/>
      <c r="AR162" s="23"/>
      <c r="AS162" s="23"/>
      <c r="AT162" s="23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2"/>
      <c r="CA162" s="23"/>
      <c r="CB162" s="23"/>
      <c r="CC162" s="22"/>
      <c r="CD162" s="22"/>
      <c r="CE162" s="23"/>
      <c r="CF162" s="23"/>
      <c r="CG162" s="22"/>
      <c r="CH162" s="23"/>
      <c r="CI162" s="23"/>
      <c r="CJ162" s="22"/>
      <c r="CK162" s="22"/>
      <c r="CM162" s="22"/>
      <c r="CN162" s="23"/>
      <c r="CO162" s="22"/>
    </row>
    <row r="163">
      <c r="G163" s="22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3"/>
      <c r="U163" s="23"/>
      <c r="V163" s="23"/>
      <c r="W163" s="23"/>
      <c r="X163" s="23"/>
      <c r="Y163" s="26"/>
      <c r="Z163" s="26"/>
      <c r="AA163" s="26"/>
      <c r="AB163" s="26"/>
      <c r="AC163" s="26"/>
      <c r="AD163" s="26"/>
      <c r="AE163" s="26"/>
      <c r="AF163" s="26"/>
      <c r="AG163" s="23"/>
      <c r="AH163" s="23"/>
      <c r="AI163" s="23"/>
      <c r="AJ163" s="23"/>
      <c r="AK163" s="23"/>
      <c r="AL163" s="23"/>
      <c r="AM163" s="26"/>
      <c r="AN163" s="26"/>
      <c r="AO163" s="26"/>
      <c r="AP163" s="26"/>
      <c r="AQ163" s="23"/>
      <c r="AR163" s="23"/>
      <c r="AS163" s="23"/>
      <c r="AT163" s="23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2"/>
      <c r="CA163" s="23"/>
      <c r="CB163" s="23"/>
      <c r="CC163" s="22"/>
      <c r="CD163" s="22"/>
      <c r="CE163" s="23"/>
      <c r="CF163" s="23"/>
      <c r="CG163" s="22"/>
      <c r="CH163" s="23"/>
      <c r="CI163" s="23"/>
      <c r="CJ163" s="22"/>
      <c r="CK163" s="22"/>
      <c r="CM163" s="22"/>
      <c r="CN163" s="23"/>
      <c r="CO163" s="22"/>
    </row>
    <row r="164">
      <c r="G164" s="22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3"/>
      <c r="U164" s="23"/>
      <c r="V164" s="23"/>
      <c r="W164" s="23"/>
      <c r="X164" s="23"/>
      <c r="Y164" s="26"/>
      <c r="Z164" s="26"/>
      <c r="AA164" s="26"/>
      <c r="AB164" s="26"/>
      <c r="AC164" s="26"/>
      <c r="AD164" s="26"/>
      <c r="AE164" s="26"/>
      <c r="AF164" s="26"/>
      <c r="AG164" s="23"/>
      <c r="AH164" s="23"/>
      <c r="AI164" s="23"/>
      <c r="AJ164" s="23"/>
      <c r="AK164" s="23"/>
      <c r="AL164" s="23"/>
      <c r="AM164" s="26"/>
      <c r="AN164" s="26"/>
      <c r="AO164" s="26"/>
      <c r="AP164" s="26"/>
      <c r="AQ164" s="23"/>
      <c r="AR164" s="23"/>
      <c r="AS164" s="23"/>
      <c r="AT164" s="23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2"/>
      <c r="CA164" s="23"/>
      <c r="CB164" s="23"/>
      <c r="CC164" s="22"/>
      <c r="CD164" s="22"/>
      <c r="CE164" s="23"/>
      <c r="CF164" s="23"/>
      <c r="CG164" s="22"/>
      <c r="CH164" s="23"/>
      <c r="CI164" s="23"/>
      <c r="CJ164" s="22"/>
      <c r="CK164" s="22"/>
      <c r="CM164" s="22"/>
      <c r="CN164" s="23"/>
      <c r="CO164" s="22"/>
    </row>
    <row r="165">
      <c r="G165" s="22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3"/>
      <c r="U165" s="23"/>
      <c r="V165" s="23"/>
      <c r="W165" s="23"/>
      <c r="X165" s="23"/>
      <c r="Y165" s="26"/>
      <c r="Z165" s="26"/>
      <c r="AA165" s="26"/>
      <c r="AB165" s="26"/>
      <c r="AC165" s="26"/>
      <c r="AD165" s="26"/>
      <c r="AE165" s="26"/>
      <c r="AF165" s="26"/>
      <c r="AG165" s="23"/>
      <c r="AH165" s="23"/>
      <c r="AI165" s="23"/>
      <c r="AJ165" s="23"/>
      <c r="AK165" s="23"/>
      <c r="AL165" s="23"/>
      <c r="AM165" s="26"/>
      <c r="AN165" s="26"/>
      <c r="AO165" s="26"/>
      <c r="AP165" s="26"/>
      <c r="AQ165" s="23"/>
      <c r="AR165" s="23"/>
      <c r="AS165" s="23"/>
      <c r="AT165" s="23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2"/>
      <c r="CA165" s="23"/>
      <c r="CB165" s="23"/>
      <c r="CC165" s="22"/>
      <c r="CD165" s="22"/>
      <c r="CE165" s="23"/>
      <c r="CF165" s="23"/>
      <c r="CG165" s="22"/>
      <c r="CH165" s="23"/>
      <c r="CI165" s="23"/>
      <c r="CJ165" s="22"/>
      <c r="CK165" s="22"/>
      <c r="CM165" s="22"/>
      <c r="CN165" s="23"/>
      <c r="CO165" s="22"/>
    </row>
    <row r="166">
      <c r="G166" s="22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3"/>
      <c r="U166" s="23"/>
      <c r="V166" s="23"/>
      <c r="W166" s="23"/>
      <c r="X166" s="23"/>
      <c r="Y166" s="26"/>
      <c r="Z166" s="26"/>
      <c r="AA166" s="26"/>
      <c r="AB166" s="26"/>
      <c r="AC166" s="26"/>
      <c r="AD166" s="26"/>
      <c r="AE166" s="26"/>
      <c r="AF166" s="26"/>
      <c r="AG166" s="23"/>
      <c r="AH166" s="23"/>
      <c r="AI166" s="23"/>
      <c r="AJ166" s="23"/>
      <c r="AK166" s="23"/>
      <c r="AL166" s="23"/>
      <c r="AM166" s="26"/>
      <c r="AN166" s="26"/>
      <c r="AO166" s="26"/>
      <c r="AP166" s="26"/>
      <c r="AQ166" s="23"/>
      <c r="AR166" s="23"/>
      <c r="AS166" s="23"/>
      <c r="AT166" s="23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2"/>
      <c r="CA166" s="23"/>
      <c r="CB166" s="23"/>
      <c r="CC166" s="22"/>
      <c r="CD166" s="22"/>
      <c r="CE166" s="23"/>
      <c r="CF166" s="23"/>
      <c r="CG166" s="22"/>
      <c r="CH166" s="23"/>
      <c r="CI166" s="23"/>
      <c r="CJ166" s="22"/>
      <c r="CK166" s="22"/>
      <c r="CM166" s="22"/>
      <c r="CN166" s="23"/>
      <c r="CO166" s="22"/>
    </row>
    <row r="167">
      <c r="G167" s="22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3"/>
      <c r="U167" s="23"/>
      <c r="V167" s="23"/>
      <c r="W167" s="23"/>
      <c r="X167" s="23"/>
      <c r="Y167" s="26"/>
      <c r="Z167" s="26"/>
      <c r="AA167" s="26"/>
      <c r="AB167" s="26"/>
      <c r="AC167" s="26"/>
      <c r="AD167" s="26"/>
      <c r="AE167" s="26"/>
      <c r="AF167" s="26"/>
      <c r="AG167" s="23"/>
      <c r="AH167" s="23"/>
      <c r="AI167" s="23"/>
      <c r="AJ167" s="23"/>
      <c r="AK167" s="23"/>
      <c r="AL167" s="23"/>
      <c r="AM167" s="26"/>
      <c r="AN167" s="26"/>
      <c r="AO167" s="26"/>
      <c r="AP167" s="26"/>
      <c r="AQ167" s="23"/>
      <c r="AR167" s="23"/>
      <c r="AS167" s="23"/>
      <c r="AT167" s="23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2"/>
      <c r="CA167" s="23"/>
      <c r="CB167" s="23"/>
      <c r="CC167" s="22"/>
      <c r="CD167" s="22"/>
      <c r="CE167" s="23"/>
      <c r="CF167" s="23"/>
      <c r="CG167" s="22"/>
      <c r="CH167" s="23"/>
      <c r="CI167" s="23"/>
      <c r="CJ167" s="22"/>
      <c r="CK167" s="22"/>
      <c r="CM167" s="22"/>
      <c r="CN167" s="23"/>
      <c r="CO167" s="22"/>
    </row>
    <row r="168">
      <c r="G168" s="22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3"/>
      <c r="U168" s="23"/>
      <c r="V168" s="23"/>
      <c r="W168" s="23"/>
      <c r="X168" s="23"/>
      <c r="Y168" s="26"/>
      <c r="Z168" s="26"/>
      <c r="AA168" s="26"/>
      <c r="AB168" s="26"/>
      <c r="AC168" s="26"/>
      <c r="AD168" s="26"/>
      <c r="AE168" s="26"/>
      <c r="AF168" s="26"/>
      <c r="AG168" s="23"/>
      <c r="AH168" s="23"/>
      <c r="AI168" s="23"/>
      <c r="AJ168" s="23"/>
      <c r="AK168" s="23"/>
      <c r="AL168" s="23"/>
      <c r="AM168" s="26"/>
      <c r="AN168" s="26"/>
      <c r="AO168" s="26"/>
      <c r="AP168" s="26"/>
      <c r="AQ168" s="23"/>
      <c r="AR168" s="23"/>
      <c r="AS168" s="23"/>
      <c r="AT168" s="23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2"/>
      <c r="CA168" s="23"/>
      <c r="CB168" s="23"/>
      <c r="CC168" s="22"/>
      <c r="CD168" s="22"/>
      <c r="CE168" s="23"/>
      <c r="CF168" s="23"/>
      <c r="CG168" s="22"/>
      <c r="CH168" s="23"/>
      <c r="CI168" s="23"/>
      <c r="CJ168" s="22"/>
      <c r="CK168" s="22"/>
      <c r="CM168" s="22"/>
      <c r="CN168" s="23"/>
      <c r="CO168" s="22"/>
    </row>
    <row r="169">
      <c r="G169" s="22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3"/>
      <c r="U169" s="23"/>
      <c r="V169" s="23"/>
      <c r="W169" s="23"/>
      <c r="X169" s="23"/>
      <c r="Y169" s="26"/>
      <c r="Z169" s="26"/>
      <c r="AA169" s="26"/>
      <c r="AB169" s="26"/>
      <c r="AC169" s="26"/>
      <c r="AD169" s="26"/>
      <c r="AE169" s="26"/>
      <c r="AF169" s="26"/>
      <c r="AG169" s="23"/>
      <c r="AH169" s="23"/>
      <c r="AI169" s="23"/>
      <c r="AJ169" s="23"/>
      <c r="AK169" s="23"/>
      <c r="AL169" s="23"/>
      <c r="AM169" s="26"/>
      <c r="AN169" s="26"/>
      <c r="AO169" s="26"/>
      <c r="AP169" s="26"/>
      <c r="AQ169" s="23"/>
      <c r="AR169" s="23"/>
      <c r="AS169" s="23"/>
      <c r="AT169" s="23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2"/>
      <c r="CA169" s="23"/>
      <c r="CB169" s="23"/>
      <c r="CC169" s="22"/>
      <c r="CD169" s="22"/>
      <c r="CE169" s="23"/>
      <c r="CF169" s="23"/>
      <c r="CG169" s="22"/>
      <c r="CH169" s="23"/>
      <c r="CI169" s="23"/>
      <c r="CJ169" s="22"/>
      <c r="CK169" s="22"/>
      <c r="CM169" s="22"/>
      <c r="CN169" s="23"/>
      <c r="CO169" s="22"/>
    </row>
    <row r="170">
      <c r="G170" s="22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3"/>
      <c r="U170" s="23"/>
      <c r="V170" s="23"/>
      <c r="W170" s="23"/>
      <c r="X170" s="23"/>
      <c r="Y170" s="26"/>
      <c r="Z170" s="26"/>
      <c r="AA170" s="26"/>
      <c r="AB170" s="26"/>
      <c r="AC170" s="26"/>
      <c r="AD170" s="26"/>
      <c r="AE170" s="26"/>
      <c r="AF170" s="26"/>
      <c r="AG170" s="23"/>
      <c r="AH170" s="23"/>
      <c r="AI170" s="23"/>
      <c r="AJ170" s="23"/>
      <c r="AK170" s="23"/>
      <c r="AL170" s="23"/>
      <c r="AM170" s="26"/>
      <c r="AN170" s="26"/>
      <c r="AO170" s="26"/>
      <c r="AP170" s="26"/>
      <c r="AQ170" s="23"/>
      <c r="AR170" s="23"/>
      <c r="AS170" s="23"/>
      <c r="AT170" s="23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2"/>
      <c r="CA170" s="23"/>
      <c r="CB170" s="23"/>
      <c r="CC170" s="22"/>
      <c r="CD170" s="22"/>
      <c r="CE170" s="23"/>
      <c r="CF170" s="23"/>
      <c r="CG170" s="22"/>
      <c r="CH170" s="23"/>
      <c r="CI170" s="23"/>
      <c r="CJ170" s="22"/>
      <c r="CK170" s="22"/>
      <c r="CM170" s="22"/>
      <c r="CN170" s="23"/>
      <c r="CO170" s="22"/>
    </row>
    <row r="171">
      <c r="G171" s="22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3"/>
      <c r="U171" s="23"/>
      <c r="V171" s="23"/>
      <c r="W171" s="23"/>
      <c r="X171" s="23"/>
      <c r="Y171" s="26"/>
      <c r="Z171" s="26"/>
      <c r="AA171" s="26"/>
      <c r="AB171" s="26"/>
      <c r="AC171" s="26"/>
      <c r="AD171" s="26"/>
      <c r="AE171" s="26"/>
      <c r="AF171" s="26"/>
      <c r="AG171" s="23"/>
      <c r="AH171" s="23"/>
      <c r="AI171" s="23"/>
      <c r="AJ171" s="23"/>
      <c r="AK171" s="23"/>
      <c r="AL171" s="23"/>
      <c r="AM171" s="26"/>
      <c r="AN171" s="26"/>
      <c r="AO171" s="26"/>
      <c r="AP171" s="26"/>
      <c r="AQ171" s="23"/>
      <c r="AR171" s="23"/>
      <c r="AS171" s="23"/>
      <c r="AT171" s="23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2"/>
      <c r="CA171" s="23"/>
      <c r="CB171" s="23"/>
      <c r="CC171" s="22"/>
      <c r="CD171" s="22"/>
      <c r="CE171" s="23"/>
      <c r="CF171" s="23"/>
      <c r="CG171" s="22"/>
      <c r="CH171" s="23"/>
      <c r="CI171" s="23"/>
      <c r="CJ171" s="22"/>
      <c r="CK171" s="22"/>
      <c r="CM171" s="22"/>
      <c r="CN171" s="23"/>
      <c r="CO171" s="22"/>
    </row>
    <row r="172">
      <c r="G172" s="22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3"/>
      <c r="U172" s="23"/>
      <c r="V172" s="23"/>
      <c r="W172" s="23"/>
      <c r="X172" s="23"/>
      <c r="Y172" s="26"/>
      <c r="Z172" s="26"/>
      <c r="AA172" s="26"/>
      <c r="AB172" s="26"/>
      <c r="AC172" s="26"/>
      <c r="AD172" s="26"/>
      <c r="AE172" s="26"/>
      <c r="AF172" s="26"/>
      <c r="AG172" s="23"/>
      <c r="AH172" s="23"/>
      <c r="AI172" s="23"/>
      <c r="AJ172" s="23"/>
      <c r="AK172" s="23"/>
      <c r="AL172" s="23"/>
      <c r="AM172" s="26"/>
      <c r="AN172" s="26"/>
      <c r="AO172" s="26"/>
      <c r="AP172" s="26"/>
      <c r="AQ172" s="23"/>
      <c r="AR172" s="23"/>
      <c r="AS172" s="23"/>
      <c r="AT172" s="23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2"/>
      <c r="CA172" s="23"/>
      <c r="CB172" s="23"/>
      <c r="CC172" s="22"/>
      <c r="CD172" s="22"/>
      <c r="CE172" s="23"/>
      <c r="CF172" s="23"/>
      <c r="CG172" s="22"/>
      <c r="CH172" s="23"/>
      <c r="CI172" s="23"/>
      <c r="CJ172" s="22"/>
      <c r="CK172" s="22"/>
      <c r="CM172" s="22"/>
      <c r="CN172" s="23"/>
      <c r="CO172" s="22"/>
    </row>
    <row r="173">
      <c r="G173" s="22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3"/>
      <c r="U173" s="23"/>
      <c r="V173" s="23"/>
      <c r="W173" s="23"/>
      <c r="X173" s="23"/>
      <c r="Y173" s="26"/>
      <c r="Z173" s="26"/>
      <c r="AA173" s="26"/>
      <c r="AB173" s="26"/>
      <c r="AC173" s="26"/>
      <c r="AD173" s="26"/>
      <c r="AE173" s="26"/>
      <c r="AF173" s="26"/>
      <c r="AG173" s="23"/>
      <c r="AH173" s="23"/>
      <c r="AI173" s="23"/>
      <c r="AJ173" s="23"/>
      <c r="AK173" s="23"/>
      <c r="AL173" s="23"/>
      <c r="AM173" s="26"/>
      <c r="AN173" s="26"/>
      <c r="AO173" s="26"/>
      <c r="AP173" s="26"/>
      <c r="AQ173" s="23"/>
      <c r="AR173" s="23"/>
      <c r="AS173" s="23"/>
      <c r="AT173" s="23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2"/>
      <c r="CA173" s="23"/>
      <c r="CB173" s="23"/>
      <c r="CC173" s="22"/>
      <c r="CD173" s="22"/>
      <c r="CE173" s="23"/>
      <c r="CF173" s="23"/>
      <c r="CG173" s="22"/>
      <c r="CH173" s="23"/>
      <c r="CI173" s="23"/>
      <c r="CJ173" s="22"/>
      <c r="CK173" s="22"/>
      <c r="CM173" s="22"/>
      <c r="CN173" s="23"/>
      <c r="CO173" s="22"/>
    </row>
    <row r="174">
      <c r="G174" s="22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3"/>
      <c r="U174" s="23"/>
      <c r="V174" s="23"/>
      <c r="W174" s="23"/>
      <c r="X174" s="23"/>
      <c r="Y174" s="26"/>
      <c r="Z174" s="26"/>
      <c r="AA174" s="26"/>
      <c r="AB174" s="26"/>
      <c r="AC174" s="26"/>
      <c r="AD174" s="26"/>
      <c r="AE174" s="26"/>
      <c r="AF174" s="26"/>
      <c r="AG174" s="23"/>
      <c r="AH174" s="23"/>
      <c r="AI174" s="23"/>
      <c r="AJ174" s="23"/>
      <c r="AK174" s="23"/>
      <c r="AL174" s="23"/>
      <c r="AM174" s="26"/>
      <c r="AN174" s="26"/>
      <c r="AO174" s="26"/>
      <c r="AP174" s="26"/>
      <c r="AQ174" s="23"/>
      <c r="AR174" s="23"/>
      <c r="AS174" s="23"/>
      <c r="AT174" s="23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2"/>
      <c r="CA174" s="23"/>
      <c r="CB174" s="23"/>
      <c r="CC174" s="22"/>
      <c r="CD174" s="22"/>
      <c r="CE174" s="23"/>
      <c r="CF174" s="23"/>
      <c r="CG174" s="22"/>
      <c r="CH174" s="23"/>
      <c r="CI174" s="23"/>
      <c r="CJ174" s="22"/>
      <c r="CK174" s="22"/>
      <c r="CM174" s="22"/>
      <c r="CN174" s="23"/>
      <c r="CO174" s="22"/>
    </row>
    <row r="175">
      <c r="G175" s="22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3"/>
      <c r="U175" s="23"/>
      <c r="V175" s="23"/>
      <c r="W175" s="23"/>
      <c r="X175" s="23"/>
      <c r="Y175" s="26"/>
      <c r="Z175" s="26"/>
      <c r="AA175" s="26"/>
      <c r="AB175" s="26"/>
      <c r="AC175" s="26"/>
      <c r="AD175" s="26"/>
      <c r="AE175" s="26"/>
      <c r="AF175" s="26"/>
      <c r="AG175" s="23"/>
      <c r="AH175" s="23"/>
      <c r="AI175" s="23"/>
      <c r="AJ175" s="23"/>
      <c r="AK175" s="23"/>
      <c r="AL175" s="23"/>
      <c r="AM175" s="26"/>
      <c r="AN175" s="26"/>
      <c r="AO175" s="26"/>
      <c r="AP175" s="26"/>
      <c r="AQ175" s="23"/>
      <c r="AR175" s="23"/>
      <c r="AS175" s="23"/>
      <c r="AT175" s="23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2"/>
      <c r="CA175" s="23"/>
      <c r="CB175" s="23"/>
      <c r="CC175" s="22"/>
      <c r="CD175" s="22"/>
      <c r="CE175" s="23"/>
      <c r="CF175" s="23"/>
      <c r="CG175" s="22"/>
      <c r="CH175" s="23"/>
      <c r="CI175" s="23"/>
      <c r="CJ175" s="22"/>
      <c r="CK175" s="22"/>
      <c r="CM175" s="22"/>
      <c r="CN175" s="23"/>
      <c r="CO175" s="22"/>
    </row>
    <row r="176">
      <c r="G176" s="22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3"/>
      <c r="U176" s="23"/>
      <c r="V176" s="23"/>
      <c r="W176" s="23"/>
      <c r="X176" s="23"/>
      <c r="Y176" s="26"/>
      <c r="Z176" s="26"/>
      <c r="AA176" s="26"/>
      <c r="AB176" s="26"/>
      <c r="AC176" s="26"/>
      <c r="AD176" s="26"/>
      <c r="AE176" s="26"/>
      <c r="AF176" s="26"/>
      <c r="AG176" s="23"/>
      <c r="AH176" s="23"/>
      <c r="AI176" s="23"/>
      <c r="AJ176" s="23"/>
      <c r="AK176" s="23"/>
      <c r="AL176" s="23"/>
      <c r="AM176" s="26"/>
      <c r="AN176" s="26"/>
      <c r="AO176" s="26"/>
      <c r="AP176" s="26"/>
      <c r="AQ176" s="23"/>
      <c r="AR176" s="23"/>
      <c r="AS176" s="23"/>
      <c r="AT176" s="23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2"/>
      <c r="CA176" s="23"/>
      <c r="CB176" s="23"/>
      <c r="CC176" s="22"/>
      <c r="CD176" s="22"/>
      <c r="CE176" s="23"/>
      <c r="CF176" s="23"/>
      <c r="CG176" s="22"/>
      <c r="CH176" s="23"/>
      <c r="CI176" s="23"/>
      <c r="CJ176" s="22"/>
      <c r="CK176" s="22"/>
      <c r="CM176" s="22"/>
      <c r="CN176" s="23"/>
      <c r="CO176" s="22"/>
    </row>
    <row r="177">
      <c r="G177" s="22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3"/>
      <c r="U177" s="23"/>
      <c r="V177" s="23"/>
      <c r="W177" s="23"/>
      <c r="X177" s="23"/>
      <c r="Y177" s="26"/>
      <c r="Z177" s="26"/>
      <c r="AA177" s="26"/>
      <c r="AB177" s="26"/>
      <c r="AC177" s="26"/>
      <c r="AD177" s="26"/>
      <c r="AE177" s="26"/>
      <c r="AF177" s="26"/>
      <c r="AG177" s="23"/>
      <c r="AH177" s="23"/>
      <c r="AI177" s="23"/>
      <c r="AJ177" s="23"/>
      <c r="AK177" s="23"/>
      <c r="AL177" s="23"/>
      <c r="AM177" s="26"/>
      <c r="AN177" s="26"/>
      <c r="AO177" s="26"/>
      <c r="AP177" s="26"/>
      <c r="AQ177" s="23"/>
      <c r="AR177" s="23"/>
      <c r="AS177" s="23"/>
      <c r="AT177" s="23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2"/>
      <c r="CA177" s="23"/>
      <c r="CB177" s="23"/>
      <c r="CC177" s="22"/>
      <c r="CD177" s="22"/>
      <c r="CE177" s="23"/>
      <c r="CF177" s="23"/>
      <c r="CG177" s="22"/>
      <c r="CH177" s="23"/>
      <c r="CI177" s="23"/>
      <c r="CJ177" s="22"/>
      <c r="CK177" s="22"/>
      <c r="CM177" s="22"/>
      <c r="CN177" s="23"/>
      <c r="CO177" s="22"/>
    </row>
    <row r="178">
      <c r="G178" s="22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3"/>
      <c r="U178" s="23"/>
      <c r="V178" s="23"/>
      <c r="W178" s="23"/>
      <c r="X178" s="23"/>
      <c r="Y178" s="26"/>
      <c r="Z178" s="26"/>
      <c r="AA178" s="26"/>
      <c r="AB178" s="26"/>
      <c r="AC178" s="26"/>
      <c r="AD178" s="26"/>
      <c r="AE178" s="26"/>
      <c r="AF178" s="26"/>
      <c r="AG178" s="23"/>
      <c r="AH178" s="23"/>
      <c r="AI178" s="23"/>
      <c r="AJ178" s="23"/>
      <c r="AK178" s="23"/>
      <c r="AL178" s="23"/>
      <c r="AM178" s="26"/>
      <c r="AN178" s="26"/>
      <c r="AO178" s="26"/>
      <c r="AP178" s="26"/>
      <c r="AQ178" s="23"/>
      <c r="AR178" s="23"/>
      <c r="AS178" s="23"/>
      <c r="AT178" s="23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2"/>
      <c r="CA178" s="23"/>
      <c r="CB178" s="23"/>
      <c r="CC178" s="22"/>
      <c r="CD178" s="22"/>
      <c r="CE178" s="23"/>
      <c r="CF178" s="23"/>
      <c r="CG178" s="22"/>
      <c r="CH178" s="23"/>
      <c r="CI178" s="23"/>
      <c r="CJ178" s="22"/>
      <c r="CK178" s="22"/>
      <c r="CM178" s="22"/>
      <c r="CN178" s="23"/>
      <c r="CO178" s="22"/>
    </row>
    <row r="179">
      <c r="G179" s="22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3"/>
      <c r="U179" s="23"/>
      <c r="V179" s="23"/>
      <c r="W179" s="23"/>
      <c r="X179" s="23"/>
      <c r="Y179" s="26"/>
      <c r="Z179" s="26"/>
      <c r="AA179" s="26"/>
      <c r="AB179" s="26"/>
      <c r="AC179" s="26"/>
      <c r="AD179" s="26"/>
      <c r="AE179" s="26"/>
      <c r="AF179" s="26"/>
      <c r="AG179" s="23"/>
      <c r="AH179" s="23"/>
      <c r="AI179" s="23"/>
      <c r="AJ179" s="23"/>
      <c r="AK179" s="23"/>
      <c r="AL179" s="23"/>
      <c r="AM179" s="26"/>
      <c r="AN179" s="26"/>
      <c r="AO179" s="26"/>
      <c r="AP179" s="26"/>
      <c r="AQ179" s="23"/>
      <c r="AR179" s="23"/>
      <c r="AS179" s="23"/>
      <c r="AT179" s="23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2"/>
      <c r="CA179" s="23"/>
      <c r="CB179" s="23"/>
      <c r="CC179" s="22"/>
      <c r="CD179" s="22"/>
      <c r="CE179" s="23"/>
      <c r="CF179" s="23"/>
      <c r="CG179" s="22"/>
      <c r="CH179" s="23"/>
      <c r="CI179" s="23"/>
      <c r="CJ179" s="22"/>
      <c r="CK179" s="22"/>
      <c r="CM179" s="22"/>
      <c r="CN179" s="23"/>
      <c r="CO179" s="22"/>
    </row>
    <row r="180">
      <c r="G180" s="22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3"/>
      <c r="U180" s="23"/>
      <c r="V180" s="23"/>
      <c r="W180" s="23"/>
      <c r="X180" s="23"/>
      <c r="Y180" s="26"/>
      <c r="Z180" s="26"/>
      <c r="AA180" s="26"/>
      <c r="AB180" s="26"/>
      <c r="AC180" s="26"/>
      <c r="AD180" s="26"/>
      <c r="AE180" s="26"/>
      <c r="AF180" s="26"/>
      <c r="AG180" s="23"/>
      <c r="AH180" s="23"/>
      <c r="AI180" s="23"/>
      <c r="AJ180" s="23"/>
      <c r="AK180" s="23"/>
      <c r="AL180" s="23"/>
      <c r="AM180" s="26"/>
      <c r="AN180" s="26"/>
      <c r="AO180" s="26"/>
      <c r="AP180" s="26"/>
      <c r="AQ180" s="23"/>
      <c r="AR180" s="23"/>
      <c r="AS180" s="23"/>
      <c r="AT180" s="23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2"/>
      <c r="CA180" s="23"/>
      <c r="CB180" s="23"/>
      <c r="CC180" s="22"/>
      <c r="CD180" s="22"/>
      <c r="CE180" s="23"/>
      <c r="CF180" s="23"/>
      <c r="CG180" s="22"/>
      <c r="CH180" s="23"/>
      <c r="CI180" s="23"/>
      <c r="CJ180" s="22"/>
      <c r="CK180" s="22"/>
      <c r="CM180" s="22"/>
      <c r="CN180" s="23"/>
      <c r="CO180" s="22"/>
    </row>
    <row r="181">
      <c r="G181" s="22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3"/>
      <c r="U181" s="23"/>
      <c r="V181" s="23"/>
      <c r="W181" s="23"/>
      <c r="X181" s="23"/>
      <c r="Y181" s="26"/>
      <c r="Z181" s="26"/>
      <c r="AA181" s="26"/>
      <c r="AB181" s="26"/>
      <c r="AC181" s="26"/>
      <c r="AD181" s="26"/>
      <c r="AE181" s="26"/>
      <c r="AF181" s="26"/>
      <c r="AG181" s="23"/>
      <c r="AH181" s="23"/>
      <c r="AI181" s="23"/>
      <c r="AJ181" s="23"/>
      <c r="AK181" s="23"/>
      <c r="AL181" s="23"/>
      <c r="AM181" s="26"/>
      <c r="AN181" s="26"/>
      <c r="AO181" s="26"/>
      <c r="AP181" s="26"/>
      <c r="AQ181" s="23"/>
      <c r="AR181" s="23"/>
      <c r="AS181" s="23"/>
      <c r="AT181" s="23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2"/>
      <c r="CA181" s="23"/>
      <c r="CB181" s="23"/>
      <c r="CC181" s="22"/>
      <c r="CD181" s="22"/>
      <c r="CE181" s="23"/>
      <c r="CF181" s="23"/>
      <c r="CG181" s="22"/>
      <c r="CH181" s="23"/>
      <c r="CI181" s="23"/>
      <c r="CJ181" s="22"/>
      <c r="CK181" s="22"/>
      <c r="CM181" s="22"/>
      <c r="CN181" s="23"/>
      <c r="CO181" s="22"/>
    </row>
    <row r="182">
      <c r="G182" s="22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3"/>
      <c r="U182" s="23"/>
      <c r="V182" s="23"/>
      <c r="W182" s="23"/>
      <c r="X182" s="23"/>
      <c r="Y182" s="26"/>
      <c r="Z182" s="26"/>
      <c r="AA182" s="26"/>
      <c r="AB182" s="26"/>
      <c r="AC182" s="26"/>
      <c r="AD182" s="26"/>
      <c r="AE182" s="26"/>
      <c r="AF182" s="26"/>
      <c r="AG182" s="23"/>
      <c r="AH182" s="23"/>
      <c r="AI182" s="23"/>
      <c r="AJ182" s="23"/>
      <c r="AK182" s="23"/>
      <c r="AL182" s="23"/>
      <c r="AM182" s="26"/>
      <c r="AN182" s="26"/>
      <c r="AO182" s="26"/>
      <c r="AP182" s="26"/>
      <c r="AQ182" s="23"/>
      <c r="AR182" s="23"/>
      <c r="AS182" s="23"/>
      <c r="AT182" s="23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2"/>
      <c r="CA182" s="23"/>
      <c r="CB182" s="23"/>
      <c r="CC182" s="22"/>
      <c r="CD182" s="22"/>
      <c r="CE182" s="23"/>
      <c r="CF182" s="23"/>
      <c r="CG182" s="22"/>
      <c r="CH182" s="23"/>
      <c r="CI182" s="23"/>
      <c r="CJ182" s="22"/>
      <c r="CK182" s="22"/>
      <c r="CM182" s="22"/>
      <c r="CN182" s="23"/>
      <c r="CO182" s="22"/>
    </row>
    <row r="183">
      <c r="G183" s="22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3"/>
      <c r="U183" s="23"/>
      <c r="V183" s="23"/>
      <c r="W183" s="23"/>
      <c r="X183" s="23"/>
      <c r="Y183" s="26"/>
      <c r="Z183" s="26"/>
      <c r="AA183" s="26"/>
      <c r="AB183" s="26"/>
      <c r="AC183" s="26"/>
      <c r="AD183" s="26"/>
      <c r="AE183" s="26"/>
      <c r="AF183" s="26"/>
      <c r="AG183" s="23"/>
      <c r="AH183" s="23"/>
      <c r="AI183" s="23"/>
      <c r="AJ183" s="23"/>
      <c r="AK183" s="23"/>
      <c r="AL183" s="23"/>
      <c r="AM183" s="26"/>
      <c r="AN183" s="26"/>
      <c r="AO183" s="26"/>
      <c r="AP183" s="26"/>
      <c r="AQ183" s="23"/>
      <c r="AR183" s="23"/>
      <c r="AS183" s="23"/>
      <c r="AT183" s="23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2"/>
      <c r="CA183" s="23"/>
      <c r="CB183" s="23"/>
      <c r="CC183" s="22"/>
      <c r="CD183" s="22"/>
      <c r="CE183" s="23"/>
      <c r="CF183" s="23"/>
      <c r="CG183" s="22"/>
      <c r="CH183" s="23"/>
      <c r="CI183" s="23"/>
      <c r="CJ183" s="22"/>
      <c r="CK183" s="22"/>
      <c r="CM183" s="22"/>
      <c r="CN183" s="23"/>
      <c r="CO183" s="22"/>
    </row>
    <row r="184">
      <c r="G184" s="22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3"/>
      <c r="U184" s="23"/>
      <c r="V184" s="23"/>
      <c r="W184" s="23"/>
      <c r="X184" s="23"/>
      <c r="Y184" s="26"/>
      <c r="Z184" s="26"/>
      <c r="AA184" s="26"/>
      <c r="AB184" s="26"/>
      <c r="AC184" s="26"/>
      <c r="AD184" s="26"/>
      <c r="AE184" s="26"/>
      <c r="AF184" s="26"/>
      <c r="AG184" s="23"/>
      <c r="AH184" s="23"/>
      <c r="AI184" s="23"/>
      <c r="AJ184" s="23"/>
      <c r="AK184" s="23"/>
      <c r="AL184" s="23"/>
      <c r="AM184" s="26"/>
      <c r="AN184" s="26"/>
      <c r="AO184" s="26"/>
      <c r="AP184" s="26"/>
      <c r="AQ184" s="23"/>
      <c r="AR184" s="23"/>
      <c r="AS184" s="23"/>
      <c r="AT184" s="23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2"/>
      <c r="CA184" s="23"/>
      <c r="CB184" s="23"/>
      <c r="CC184" s="22"/>
      <c r="CD184" s="22"/>
      <c r="CE184" s="23"/>
      <c r="CF184" s="23"/>
      <c r="CG184" s="22"/>
      <c r="CH184" s="23"/>
      <c r="CI184" s="23"/>
      <c r="CJ184" s="22"/>
      <c r="CK184" s="22"/>
      <c r="CM184" s="22"/>
      <c r="CN184" s="23"/>
      <c r="CO184" s="22"/>
    </row>
    <row r="185">
      <c r="G185" s="22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3"/>
      <c r="U185" s="23"/>
      <c r="V185" s="23"/>
      <c r="W185" s="23"/>
      <c r="X185" s="23"/>
      <c r="Y185" s="26"/>
      <c r="Z185" s="26"/>
      <c r="AA185" s="26"/>
      <c r="AB185" s="26"/>
      <c r="AC185" s="26"/>
      <c r="AD185" s="26"/>
      <c r="AE185" s="26"/>
      <c r="AF185" s="26"/>
      <c r="AG185" s="23"/>
      <c r="AH185" s="23"/>
      <c r="AI185" s="23"/>
      <c r="AJ185" s="23"/>
      <c r="AK185" s="23"/>
      <c r="AL185" s="23"/>
      <c r="AM185" s="26"/>
      <c r="AN185" s="26"/>
      <c r="AO185" s="26"/>
      <c r="AP185" s="26"/>
      <c r="AQ185" s="23"/>
      <c r="AR185" s="23"/>
      <c r="AS185" s="23"/>
      <c r="AT185" s="23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2"/>
      <c r="CA185" s="23"/>
      <c r="CB185" s="23"/>
      <c r="CC185" s="22"/>
      <c r="CD185" s="22"/>
      <c r="CE185" s="23"/>
      <c r="CF185" s="23"/>
      <c r="CG185" s="22"/>
      <c r="CH185" s="23"/>
      <c r="CI185" s="23"/>
      <c r="CJ185" s="22"/>
      <c r="CK185" s="22"/>
      <c r="CM185" s="22"/>
      <c r="CN185" s="23"/>
      <c r="CO185" s="22"/>
    </row>
    <row r="186">
      <c r="G186" s="22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3"/>
      <c r="U186" s="23"/>
      <c r="V186" s="23"/>
      <c r="W186" s="23"/>
      <c r="X186" s="23"/>
      <c r="Y186" s="26"/>
      <c r="Z186" s="26"/>
      <c r="AA186" s="26"/>
      <c r="AB186" s="26"/>
      <c r="AC186" s="26"/>
      <c r="AD186" s="26"/>
      <c r="AE186" s="26"/>
      <c r="AF186" s="26"/>
      <c r="AG186" s="23"/>
      <c r="AH186" s="23"/>
      <c r="AI186" s="23"/>
      <c r="AJ186" s="23"/>
      <c r="AK186" s="23"/>
      <c r="AL186" s="23"/>
      <c r="AM186" s="26"/>
      <c r="AN186" s="26"/>
      <c r="AO186" s="26"/>
      <c r="AP186" s="26"/>
      <c r="AQ186" s="23"/>
      <c r="AR186" s="23"/>
      <c r="AS186" s="23"/>
      <c r="AT186" s="23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2"/>
      <c r="CA186" s="23"/>
      <c r="CB186" s="23"/>
      <c r="CC186" s="22"/>
      <c r="CD186" s="22"/>
      <c r="CE186" s="23"/>
      <c r="CF186" s="23"/>
      <c r="CG186" s="22"/>
      <c r="CH186" s="23"/>
      <c r="CI186" s="23"/>
      <c r="CJ186" s="22"/>
      <c r="CK186" s="22"/>
      <c r="CM186" s="22"/>
      <c r="CN186" s="23"/>
      <c r="CO186" s="22"/>
    </row>
    <row r="187">
      <c r="G187" s="22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3"/>
      <c r="U187" s="23"/>
      <c r="V187" s="23"/>
      <c r="W187" s="23"/>
      <c r="X187" s="23"/>
      <c r="Y187" s="26"/>
      <c r="Z187" s="26"/>
      <c r="AA187" s="26"/>
      <c r="AB187" s="26"/>
      <c r="AC187" s="26"/>
      <c r="AD187" s="26"/>
      <c r="AE187" s="26"/>
      <c r="AF187" s="26"/>
      <c r="AG187" s="23"/>
      <c r="AH187" s="23"/>
      <c r="AI187" s="23"/>
      <c r="AJ187" s="23"/>
      <c r="AK187" s="23"/>
      <c r="AL187" s="23"/>
      <c r="AM187" s="26"/>
      <c r="AN187" s="26"/>
      <c r="AO187" s="26"/>
      <c r="AP187" s="26"/>
      <c r="AQ187" s="23"/>
      <c r="AR187" s="23"/>
      <c r="AS187" s="23"/>
      <c r="AT187" s="23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2"/>
      <c r="CA187" s="23"/>
      <c r="CB187" s="23"/>
      <c r="CC187" s="22"/>
      <c r="CD187" s="22"/>
      <c r="CE187" s="23"/>
      <c r="CF187" s="23"/>
      <c r="CG187" s="22"/>
      <c r="CH187" s="23"/>
      <c r="CI187" s="23"/>
      <c r="CJ187" s="22"/>
      <c r="CK187" s="22"/>
      <c r="CM187" s="22"/>
      <c r="CN187" s="23"/>
      <c r="CO187" s="22"/>
    </row>
    <row r="188">
      <c r="G188" s="22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3"/>
      <c r="U188" s="23"/>
      <c r="V188" s="23"/>
      <c r="W188" s="23"/>
      <c r="X188" s="23"/>
      <c r="Y188" s="26"/>
      <c r="Z188" s="26"/>
      <c r="AA188" s="26"/>
      <c r="AB188" s="26"/>
      <c r="AC188" s="26"/>
      <c r="AD188" s="26"/>
      <c r="AE188" s="26"/>
      <c r="AF188" s="26"/>
      <c r="AG188" s="23"/>
      <c r="AH188" s="23"/>
      <c r="AI188" s="23"/>
      <c r="AJ188" s="23"/>
      <c r="AK188" s="23"/>
      <c r="AL188" s="23"/>
      <c r="AM188" s="26"/>
      <c r="AN188" s="26"/>
      <c r="AO188" s="26"/>
      <c r="AP188" s="26"/>
      <c r="AQ188" s="23"/>
      <c r="AR188" s="23"/>
      <c r="AS188" s="23"/>
      <c r="AT188" s="23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2"/>
      <c r="CA188" s="23"/>
      <c r="CB188" s="23"/>
      <c r="CC188" s="22"/>
      <c r="CD188" s="22"/>
      <c r="CE188" s="23"/>
      <c r="CF188" s="23"/>
      <c r="CG188" s="22"/>
      <c r="CH188" s="23"/>
      <c r="CI188" s="23"/>
      <c r="CJ188" s="22"/>
      <c r="CK188" s="22"/>
      <c r="CM188" s="22"/>
      <c r="CN188" s="23"/>
      <c r="CO188" s="22"/>
    </row>
    <row r="189">
      <c r="G189" s="22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3"/>
      <c r="U189" s="23"/>
      <c r="V189" s="23"/>
      <c r="W189" s="23"/>
      <c r="X189" s="23"/>
      <c r="Y189" s="26"/>
      <c r="Z189" s="26"/>
      <c r="AA189" s="26"/>
      <c r="AB189" s="26"/>
      <c r="AC189" s="26"/>
      <c r="AD189" s="26"/>
      <c r="AE189" s="26"/>
      <c r="AF189" s="26"/>
      <c r="AG189" s="23"/>
      <c r="AH189" s="23"/>
      <c r="AI189" s="23"/>
      <c r="AJ189" s="23"/>
      <c r="AK189" s="23"/>
      <c r="AL189" s="23"/>
      <c r="AM189" s="26"/>
      <c r="AN189" s="26"/>
      <c r="AO189" s="26"/>
      <c r="AP189" s="26"/>
      <c r="AQ189" s="23"/>
      <c r="AR189" s="23"/>
      <c r="AS189" s="23"/>
      <c r="AT189" s="23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2"/>
      <c r="CA189" s="23"/>
      <c r="CB189" s="23"/>
      <c r="CC189" s="22"/>
      <c r="CD189" s="22"/>
      <c r="CE189" s="23"/>
      <c r="CF189" s="23"/>
      <c r="CG189" s="22"/>
      <c r="CH189" s="23"/>
      <c r="CI189" s="23"/>
      <c r="CJ189" s="22"/>
      <c r="CK189" s="22"/>
      <c r="CM189" s="22"/>
      <c r="CN189" s="23"/>
      <c r="CO189" s="22"/>
    </row>
    <row r="190">
      <c r="G190" s="22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3"/>
      <c r="U190" s="23"/>
      <c r="V190" s="23"/>
      <c r="W190" s="23"/>
      <c r="X190" s="23"/>
      <c r="Y190" s="26"/>
      <c r="Z190" s="26"/>
      <c r="AA190" s="26"/>
      <c r="AB190" s="26"/>
      <c r="AC190" s="26"/>
      <c r="AD190" s="26"/>
      <c r="AE190" s="26"/>
      <c r="AF190" s="26"/>
      <c r="AG190" s="23"/>
      <c r="AH190" s="23"/>
      <c r="AI190" s="23"/>
      <c r="AJ190" s="23"/>
      <c r="AK190" s="23"/>
      <c r="AL190" s="23"/>
      <c r="AM190" s="26"/>
      <c r="AN190" s="26"/>
      <c r="AO190" s="26"/>
      <c r="AP190" s="26"/>
      <c r="AQ190" s="23"/>
      <c r="AR190" s="23"/>
      <c r="AS190" s="23"/>
      <c r="AT190" s="23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2"/>
      <c r="CA190" s="23"/>
      <c r="CB190" s="23"/>
      <c r="CC190" s="22"/>
      <c r="CD190" s="22"/>
      <c r="CE190" s="23"/>
      <c r="CF190" s="23"/>
      <c r="CG190" s="22"/>
      <c r="CH190" s="23"/>
      <c r="CI190" s="23"/>
      <c r="CJ190" s="22"/>
      <c r="CK190" s="22"/>
      <c r="CM190" s="22"/>
      <c r="CN190" s="23"/>
      <c r="CO190" s="22"/>
    </row>
    <row r="191">
      <c r="G191" s="22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3"/>
      <c r="U191" s="23"/>
      <c r="V191" s="23"/>
      <c r="W191" s="23"/>
      <c r="X191" s="23"/>
      <c r="Y191" s="26"/>
      <c r="Z191" s="26"/>
      <c r="AA191" s="26"/>
      <c r="AB191" s="26"/>
      <c r="AC191" s="26"/>
      <c r="AD191" s="26"/>
      <c r="AE191" s="26"/>
      <c r="AF191" s="26"/>
      <c r="AG191" s="23"/>
      <c r="AH191" s="23"/>
      <c r="AI191" s="23"/>
      <c r="AJ191" s="23"/>
      <c r="AK191" s="23"/>
      <c r="AL191" s="23"/>
      <c r="AM191" s="26"/>
      <c r="AN191" s="26"/>
      <c r="AO191" s="26"/>
      <c r="AP191" s="26"/>
      <c r="AQ191" s="23"/>
      <c r="AR191" s="23"/>
      <c r="AS191" s="23"/>
      <c r="AT191" s="23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2"/>
      <c r="CA191" s="23"/>
      <c r="CB191" s="23"/>
      <c r="CC191" s="22"/>
      <c r="CD191" s="22"/>
      <c r="CE191" s="23"/>
      <c r="CF191" s="23"/>
      <c r="CG191" s="22"/>
      <c r="CH191" s="23"/>
      <c r="CI191" s="23"/>
      <c r="CJ191" s="22"/>
      <c r="CK191" s="22"/>
      <c r="CM191" s="22"/>
      <c r="CN191" s="23"/>
      <c r="CO191" s="22"/>
    </row>
    <row r="192">
      <c r="G192" s="22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3"/>
      <c r="U192" s="23"/>
      <c r="V192" s="23"/>
      <c r="W192" s="23"/>
      <c r="X192" s="23"/>
      <c r="Y192" s="26"/>
      <c r="Z192" s="26"/>
      <c r="AA192" s="26"/>
      <c r="AB192" s="26"/>
      <c r="AC192" s="26"/>
      <c r="AD192" s="26"/>
      <c r="AE192" s="26"/>
      <c r="AF192" s="26"/>
      <c r="AG192" s="23"/>
      <c r="AH192" s="23"/>
      <c r="AI192" s="23"/>
      <c r="AJ192" s="23"/>
      <c r="AK192" s="23"/>
      <c r="AL192" s="23"/>
      <c r="AM192" s="26"/>
      <c r="AN192" s="26"/>
      <c r="AO192" s="26"/>
      <c r="AP192" s="26"/>
      <c r="AQ192" s="23"/>
      <c r="AR192" s="23"/>
      <c r="AS192" s="23"/>
      <c r="AT192" s="23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2"/>
      <c r="CA192" s="23"/>
      <c r="CB192" s="23"/>
      <c r="CC192" s="22"/>
      <c r="CD192" s="22"/>
      <c r="CE192" s="23"/>
      <c r="CF192" s="23"/>
      <c r="CG192" s="22"/>
      <c r="CH192" s="23"/>
      <c r="CI192" s="23"/>
      <c r="CJ192" s="22"/>
      <c r="CK192" s="22"/>
      <c r="CM192" s="22"/>
      <c r="CN192" s="23"/>
      <c r="CO192" s="22"/>
    </row>
    <row r="193">
      <c r="G193" s="22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3"/>
      <c r="U193" s="23"/>
      <c r="V193" s="23"/>
      <c r="W193" s="23"/>
      <c r="X193" s="23"/>
      <c r="Y193" s="26"/>
      <c r="Z193" s="26"/>
      <c r="AA193" s="26"/>
      <c r="AB193" s="26"/>
      <c r="AC193" s="26"/>
      <c r="AD193" s="26"/>
      <c r="AE193" s="26"/>
      <c r="AF193" s="26"/>
      <c r="AG193" s="23"/>
      <c r="AH193" s="23"/>
      <c r="AI193" s="23"/>
      <c r="AJ193" s="23"/>
      <c r="AK193" s="23"/>
      <c r="AL193" s="23"/>
      <c r="AM193" s="26"/>
      <c r="AN193" s="26"/>
      <c r="AO193" s="26"/>
      <c r="AP193" s="26"/>
      <c r="AQ193" s="23"/>
      <c r="AR193" s="23"/>
      <c r="AS193" s="23"/>
      <c r="AT193" s="23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2"/>
      <c r="CA193" s="23"/>
      <c r="CB193" s="23"/>
      <c r="CC193" s="22"/>
      <c r="CD193" s="22"/>
      <c r="CE193" s="23"/>
      <c r="CF193" s="23"/>
      <c r="CG193" s="22"/>
      <c r="CH193" s="23"/>
      <c r="CI193" s="23"/>
      <c r="CJ193" s="22"/>
      <c r="CK193" s="22"/>
      <c r="CM193" s="22"/>
      <c r="CN193" s="23"/>
      <c r="CO193" s="22"/>
    </row>
    <row r="194">
      <c r="G194" s="22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3"/>
      <c r="U194" s="23"/>
      <c r="V194" s="23"/>
      <c r="W194" s="23"/>
      <c r="X194" s="23"/>
      <c r="Y194" s="26"/>
      <c r="Z194" s="26"/>
      <c r="AA194" s="26"/>
      <c r="AB194" s="26"/>
      <c r="AC194" s="26"/>
      <c r="AD194" s="26"/>
      <c r="AE194" s="26"/>
      <c r="AF194" s="26"/>
      <c r="AG194" s="23"/>
      <c r="AH194" s="23"/>
      <c r="AI194" s="23"/>
      <c r="AJ194" s="23"/>
      <c r="AK194" s="23"/>
      <c r="AL194" s="23"/>
      <c r="AM194" s="26"/>
      <c r="AN194" s="26"/>
      <c r="AO194" s="26"/>
      <c r="AP194" s="26"/>
      <c r="AQ194" s="23"/>
      <c r="AR194" s="23"/>
      <c r="AS194" s="23"/>
      <c r="AT194" s="23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2"/>
      <c r="CA194" s="23"/>
      <c r="CB194" s="23"/>
      <c r="CC194" s="22"/>
      <c r="CD194" s="22"/>
      <c r="CE194" s="23"/>
      <c r="CF194" s="23"/>
      <c r="CG194" s="22"/>
      <c r="CH194" s="23"/>
      <c r="CI194" s="23"/>
      <c r="CJ194" s="22"/>
      <c r="CK194" s="22"/>
      <c r="CM194" s="22"/>
      <c r="CN194" s="23"/>
      <c r="CO194" s="22"/>
    </row>
    <row r="195">
      <c r="G195" s="22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3"/>
      <c r="U195" s="23"/>
      <c r="V195" s="23"/>
      <c r="W195" s="23"/>
      <c r="X195" s="23"/>
      <c r="Y195" s="26"/>
      <c r="Z195" s="26"/>
      <c r="AA195" s="26"/>
      <c r="AB195" s="26"/>
      <c r="AC195" s="26"/>
      <c r="AD195" s="26"/>
      <c r="AE195" s="26"/>
      <c r="AF195" s="26"/>
      <c r="AG195" s="23"/>
      <c r="AH195" s="23"/>
      <c r="AI195" s="23"/>
      <c r="AJ195" s="23"/>
      <c r="AK195" s="23"/>
      <c r="AL195" s="23"/>
      <c r="AM195" s="26"/>
      <c r="AN195" s="26"/>
      <c r="AO195" s="26"/>
      <c r="AP195" s="26"/>
      <c r="AQ195" s="23"/>
      <c r="AR195" s="23"/>
      <c r="AS195" s="23"/>
      <c r="AT195" s="23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2"/>
      <c r="CA195" s="23"/>
      <c r="CB195" s="23"/>
      <c r="CC195" s="22"/>
      <c r="CD195" s="22"/>
      <c r="CE195" s="23"/>
      <c r="CF195" s="23"/>
      <c r="CG195" s="22"/>
      <c r="CH195" s="23"/>
      <c r="CI195" s="23"/>
      <c r="CJ195" s="22"/>
      <c r="CK195" s="22"/>
      <c r="CM195" s="22"/>
      <c r="CN195" s="23"/>
      <c r="CO195" s="22"/>
    </row>
    <row r="196">
      <c r="G196" s="22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3"/>
      <c r="U196" s="23"/>
      <c r="V196" s="23"/>
      <c r="W196" s="23"/>
      <c r="X196" s="23"/>
      <c r="Y196" s="26"/>
      <c r="Z196" s="26"/>
      <c r="AA196" s="26"/>
      <c r="AB196" s="26"/>
      <c r="AC196" s="26"/>
      <c r="AD196" s="26"/>
      <c r="AE196" s="26"/>
      <c r="AF196" s="26"/>
      <c r="AG196" s="23"/>
      <c r="AH196" s="23"/>
      <c r="AI196" s="23"/>
      <c r="AJ196" s="23"/>
      <c r="AK196" s="23"/>
      <c r="AL196" s="23"/>
      <c r="AM196" s="26"/>
      <c r="AN196" s="26"/>
      <c r="AO196" s="26"/>
      <c r="AP196" s="26"/>
      <c r="AQ196" s="23"/>
      <c r="AR196" s="23"/>
      <c r="AS196" s="23"/>
      <c r="AT196" s="23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2"/>
      <c r="CA196" s="23"/>
      <c r="CB196" s="23"/>
      <c r="CC196" s="22"/>
      <c r="CD196" s="22"/>
      <c r="CE196" s="23"/>
      <c r="CF196" s="23"/>
      <c r="CG196" s="22"/>
      <c r="CH196" s="23"/>
      <c r="CI196" s="23"/>
      <c r="CJ196" s="22"/>
      <c r="CK196" s="22"/>
      <c r="CM196" s="22"/>
      <c r="CN196" s="23"/>
      <c r="CO196" s="22"/>
    </row>
    <row r="197">
      <c r="G197" s="22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3"/>
      <c r="U197" s="23"/>
      <c r="V197" s="23"/>
      <c r="W197" s="23"/>
      <c r="X197" s="23"/>
      <c r="Y197" s="26"/>
      <c r="Z197" s="26"/>
      <c r="AA197" s="26"/>
      <c r="AB197" s="26"/>
      <c r="AC197" s="26"/>
      <c r="AD197" s="26"/>
      <c r="AE197" s="26"/>
      <c r="AF197" s="26"/>
      <c r="AG197" s="23"/>
      <c r="AH197" s="23"/>
      <c r="AI197" s="23"/>
      <c r="AJ197" s="23"/>
      <c r="AK197" s="23"/>
      <c r="AL197" s="23"/>
      <c r="AM197" s="26"/>
      <c r="AN197" s="26"/>
      <c r="AO197" s="26"/>
      <c r="AP197" s="26"/>
      <c r="AQ197" s="23"/>
      <c r="AR197" s="23"/>
      <c r="AS197" s="23"/>
      <c r="AT197" s="23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2"/>
      <c r="CA197" s="23"/>
      <c r="CB197" s="23"/>
      <c r="CC197" s="22"/>
      <c r="CD197" s="22"/>
      <c r="CE197" s="23"/>
      <c r="CF197" s="23"/>
      <c r="CG197" s="22"/>
      <c r="CH197" s="23"/>
      <c r="CI197" s="23"/>
      <c r="CJ197" s="22"/>
      <c r="CK197" s="22"/>
      <c r="CM197" s="22"/>
      <c r="CN197" s="23"/>
      <c r="CO197" s="22"/>
    </row>
    <row r="198">
      <c r="G198" s="22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3"/>
      <c r="U198" s="23"/>
      <c r="V198" s="23"/>
      <c r="W198" s="23"/>
      <c r="X198" s="23"/>
      <c r="Y198" s="26"/>
      <c r="Z198" s="26"/>
      <c r="AA198" s="26"/>
      <c r="AB198" s="26"/>
      <c r="AC198" s="26"/>
      <c r="AD198" s="26"/>
      <c r="AE198" s="26"/>
      <c r="AF198" s="26"/>
      <c r="AG198" s="23"/>
      <c r="AH198" s="23"/>
      <c r="AI198" s="23"/>
      <c r="AJ198" s="23"/>
      <c r="AK198" s="23"/>
      <c r="AL198" s="23"/>
      <c r="AM198" s="26"/>
      <c r="AN198" s="26"/>
      <c r="AO198" s="26"/>
      <c r="AP198" s="26"/>
      <c r="AQ198" s="23"/>
      <c r="AR198" s="23"/>
      <c r="AS198" s="23"/>
      <c r="AT198" s="23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2"/>
      <c r="CA198" s="23"/>
      <c r="CB198" s="23"/>
      <c r="CC198" s="22"/>
      <c r="CD198" s="22"/>
      <c r="CE198" s="23"/>
      <c r="CF198" s="23"/>
      <c r="CG198" s="22"/>
      <c r="CH198" s="23"/>
      <c r="CI198" s="23"/>
      <c r="CJ198" s="22"/>
      <c r="CK198" s="22"/>
      <c r="CM198" s="22"/>
      <c r="CN198" s="23"/>
      <c r="CO198" s="22"/>
    </row>
    <row r="199">
      <c r="G199" s="22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3"/>
      <c r="U199" s="23"/>
      <c r="V199" s="23"/>
      <c r="W199" s="23"/>
      <c r="X199" s="23"/>
      <c r="Y199" s="26"/>
      <c r="Z199" s="26"/>
      <c r="AA199" s="26"/>
      <c r="AB199" s="26"/>
      <c r="AC199" s="26"/>
      <c r="AD199" s="26"/>
      <c r="AE199" s="26"/>
      <c r="AF199" s="26"/>
      <c r="AG199" s="23"/>
      <c r="AH199" s="23"/>
      <c r="AI199" s="23"/>
      <c r="AJ199" s="23"/>
      <c r="AK199" s="23"/>
      <c r="AL199" s="23"/>
      <c r="AM199" s="26"/>
      <c r="AN199" s="26"/>
      <c r="AO199" s="26"/>
      <c r="AP199" s="26"/>
      <c r="AQ199" s="23"/>
      <c r="AR199" s="23"/>
      <c r="AS199" s="23"/>
      <c r="AT199" s="23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2"/>
      <c r="CA199" s="23"/>
      <c r="CB199" s="23"/>
      <c r="CC199" s="22"/>
      <c r="CD199" s="22"/>
      <c r="CE199" s="23"/>
      <c r="CF199" s="23"/>
      <c r="CG199" s="22"/>
      <c r="CH199" s="23"/>
      <c r="CI199" s="23"/>
      <c r="CJ199" s="22"/>
      <c r="CK199" s="22"/>
      <c r="CM199" s="22"/>
      <c r="CN199" s="23"/>
      <c r="CO199" s="22"/>
    </row>
    <row r="200">
      <c r="G200" s="22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3"/>
      <c r="U200" s="23"/>
      <c r="V200" s="23"/>
      <c r="W200" s="23"/>
      <c r="X200" s="23"/>
      <c r="Y200" s="26"/>
      <c r="Z200" s="26"/>
      <c r="AA200" s="26"/>
      <c r="AB200" s="26"/>
      <c r="AC200" s="26"/>
      <c r="AD200" s="26"/>
      <c r="AE200" s="26"/>
      <c r="AF200" s="26"/>
      <c r="AG200" s="23"/>
      <c r="AH200" s="23"/>
      <c r="AI200" s="23"/>
      <c r="AJ200" s="23"/>
      <c r="AK200" s="23"/>
      <c r="AL200" s="23"/>
      <c r="AM200" s="26"/>
      <c r="AN200" s="26"/>
      <c r="AO200" s="26"/>
      <c r="AP200" s="26"/>
      <c r="AQ200" s="23"/>
      <c r="AR200" s="23"/>
      <c r="AS200" s="23"/>
      <c r="AT200" s="23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2"/>
      <c r="CA200" s="23"/>
      <c r="CB200" s="23"/>
      <c r="CC200" s="22"/>
      <c r="CD200" s="22"/>
      <c r="CE200" s="23"/>
      <c r="CF200" s="23"/>
      <c r="CG200" s="22"/>
      <c r="CH200" s="23"/>
      <c r="CI200" s="23"/>
      <c r="CJ200" s="22"/>
      <c r="CK200" s="22"/>
      <c r="CM200" s="22"/>
      <c r="CN200" s="23"/>
      <c r="CO200" s="22"/>
    </row>
    <row r="201">
      <c r="G201" s="22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3"/>
      <c r="U201" s="23"/>
      <c r="V201" s="23"/>
      <c r="W201" s="23"/>
      <c r="X201" s="23"/>
      <c r="Y201" s="26"/>
      <c r="Z201" s="26"/>
      <c r="AA201" s="26"/>
      <c r="AB201" s="26"/>
      <c r="AC201" s="26"/>
      <c r="AD201" s="26"/>
      <c r="AE201" s="26"/>
      <c r="AF201" s="26"/>
      <c r="AG201" s="23"/>
      <c r="AH201" s="23"/>
      <c r="AI201" s="23"/>
      <c r="AJ201" s="23"/>
      <c r="AK201" s="23"/>
      <c r="AL201" s="23"/>
      <c r="AM201" s="26"/>
      <c r="AN201" s="26"/>
      <c r="AO201" s="26"/>
      <c r="AP201" s="26"/>
      <c r="AQ201" s="23"/>
      <c r="AR201" s="23"/>
      <c r="AS201" s="23"/>
      <c r="AT201" s="23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2"/>
      <c r="CA201" s="23"/>
      <c r="CB201" s="23"/>
      <c r="CC201" s="22"/>
      <c r="CD201" s="22"/>
      <c r="CE201" s="23"/>
      <c r="CF201" s="23"/>
      <c r="CG201" s="22"/>
      <c r="CH201" s="23"/>
      <c r="CI201" s="23"/>
      <c r="CJ201" s="22"/>
      <c r="CK201" s="22"/>
      <c r="CM201" s="22"/>
      <c r="CN201" s="23"/>
      <c r="CO201" s="22"/>
    </row>
    <row r="202">
      <c r="G202" s="22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3"/>
      <c r="U202" s="23"/>
      <c r="V202" s="23"/>
      <c r="W202" s="23"/>
      <c r="X202" s="23"/>
      <c r="Y202" s="26"/>
      <c r="Z202" s="26"/>
      <c r="AA202" s="26"/>
      <c r="AB202" s="26"/>
      <c r="AC202" s="26"/>
      <c r="AD202" s="26"/>
      <c r="AE202" s="26"/>
      <c r="AF202" s="26"/>
      <c r="AG202" s="23"/>
      <c r="AH202" s="23"/>
      <c r="AI202" s="23"/>
      <c r="AJ202" s="23"/>
      <c r="AK202" s="23"/>
      <c r="AL202" s="23"/>
      <c r="AM202" s="26"/>
      <c r="AN202" s="26"/>
      <c r="AO202" s="26"/>
      <c r="AP202" s="26"/>
      <c r="AQ202" s="23"/>
      <c r="AR202" s="23"/>
      <c r="AS202" s="23"/>
      <c r="AT202" s="23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2"/>
      <c r="CA202" s="23"/>
      <c r="CB202" s="23"/>
      <c r="CC202" s="22"/>
      <c r="CD202" s="22"/>
      <c r="CE202" s="23"/>
      <c r="CF202" s="23"/>
      <c r="CG202" s="22"/>
      <c r="CH202" s="23"/>
      <c r="CI202" s="23"/>
      <c r="CJ202" s="22"/>
      <c r="CK202" s="22"/>
      <c r="CM202" s="22"/>
      <c r="CN202" s="23"/>
      <c r="CO202" s="22"/>
    </row>
    <row r="203">
      <c r="G203" s="22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3"/>
      <c r="U203" s="23"/>
      <c r="V203" s="23"/>
      <c r="W203" s="23"/>
      <c r="X203" s="23"/>
      <c r="Y203" s="26"/>
      <c r="Z203" s="26"/>
      <c r="AA203" s="26"/>
      <c r="AB203" s="26"/>
      <c r="AC203" s="26"/>
      <c r="AD203" s="26"/>
      <c r="AE203" s="26"/>
      <c r="AF203" s="26"/>
      <c r="AG203" s="23"/>
      <c r="AH203" s="23"/>
      <c r="AI203" s="23"/>
      <c r="AJ203" s="23"/>
      <c r="AK203" s="23"/>
      <c r="AL203" s="23"/>
      <c r="AM203" s="26"/>
      <c r="AN203" s="26"/>
      <c r="AO203" s="26"/>
      <c r="AP203" s="26"/>
      <c r="AQ203" s="23"/>
      <c r="AR203" s="23"/>
      <c r="AS203" s="23"/>
      <c r="AT203" s="23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2"/>
      <c r="CA203" s="23"/>
      <c r="CB203" s="23"/>
      <c r="CC203" s="22"/>
      <c r="CD203" s="22"/>
      <c r="CE203" s="23"/>
      <c r="CF203" s="23"/>
      <c r="CG203" s="22"/>
      <c r="CH203" s="23"/>
      <c r="CI203" s="23"/>
      <c r="CJ203" s="22"/>
      <c r="CK203" s="22"/>
      <c r="CM203" s="22"/>
      <c r="CN203" s="23"/>
      <c r="CO203" s="22"/>
    </row>
    <row r="204">
      <c r="G204" s="22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3"/>
      <c r="U204" s="23"/>
      <c r="V204" s="23"/>
      <c r="W204" s="23"/>
      <c r="X204" s="23"/>
      <c r="Y204" s="26"/>
      <c r="Z204" s="26"/>
      <c r="AA204" s="26"/>
      <c r="AB204" s="26"/>
      <c r="AC204" s="26"/>
      <c r="AD204" s="26"/>
      <c r="AE204" s="26"/>
      <c r="AF204" s="26"/>
      <c r="AG204" s="23"/>
      <c r="AH204" s="23"/>
      <c r="AI204" s="23"/>
      <c r="AJ204" s="23"/>
      <c r="AK204" s="23"/>
      <c r="AL204" s="23"/>
      <c r="AM204" s="26"/>
      <c r="AN204" s="26"/>
      <c r="AO204" s="26"/>
      <c r="AP204" s="26"/>
      <c r="AQ204" s="23"/>
      <c r="AR204" s="23"/>
      <c r="AS204" s="23"/>
      <c r="AT204" s="23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2"/>
      <c r="CA204" s="23"/>
      <c r="CB204" s="23"/>
      <c r="CC204" s="22"/>
      <c r="CD204" s="22"/>
      <c r="CE204" s="23"/>
      <c r="CF204" s="23"/>
      <c r="CG204" s="22"/>
      <c r="CH204" s="23"/>
      <c r="CI204" s="23"/>
      <c r="CJ204" s="22"/>
      <c r="CK204" s="22"/>
      <c r="CM204" s="22"/>
      <c r="CN204" s="23"/>
      <c r="CO204" s="22"/>
    </row>
    <row r="205">
      <c r="G205" s="22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3"/>
      <c r="U205" s="23"/>
      <c r="V205" s="23"/>
      <c r="W205" s="23"/>
      <c r="X205" s="23"/>
      <c r="Y205" s="26"/>
      <c r="Z205" s="26"/>
      <c r="AA205" s="26"/>
      <c r="AB205" s="26"/>
      <c r="AC205" s="26"/>
      <c r="AD205" s="26"/>
      <c r="AE205" s="26"/>
      <c r="AF205" s="26"/>
      <c r="AG205" s="23"/>
      <c r="AH205" s="23"/>
      <c r="AI205" s="23"/>
      <c r="AJ205" s="23"/>
      <c r="AK205" s="23"/>
      <c r="AL205" s="23"/>
      <c r="AM205" s="26"/>
      <c r="AN205" s="26"/>
      <c r="AO205" s="26"/>
      <c r="AP205" s="26"/>
      <c r="AQ205" s="23"/>
      <c r="AR205" s="23"/>
      <c r="AS205" s="23"/>
      <c r="AT205" s="23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2"/>
      <c r="CA205" s="23"/>
      <c r="CB205" s="23"/>
      <c r="CC205" s="22"/>
      <c r="CD205" s="22"/>
      <c r="CE205" s="23"/>
      <c r="CF205" s="23"/>
      <c r="CG205" s="22"/>
      <c r="CH205" s="23"/>
      <c r="CI205" s="23"/>
      <c r="CJ205" s="22"/>
      <c r="CK205" s="22"/>
      <c r="CM205" s="22"/>
      <c r="CN205" s="23"/>
      <c r="CO205" s="22"/>
    </row>
    <row r="206">
      <c r="G206" s="22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3"/>
      <c r="U206" s="23"/>
      <c r="V206" s="23"/>
      <c r="W206" s="23"/>
      <c r="X206" s="23"/>
      <c r="Y206" s="26"/>
      <c r="Z206" s="26"/>
      <c r="AA206" s="26"/>
      <c r="AB206" s="26"/>
      <c r="AC206" s="26"/>
      <c r="AD206" s="26"/>
      <c r="AE206" s="26"/>
      <c r="AF206" s="26"/>
      <c r="AG206" s="23"/>
      <c r="AH206" s="23"/>
      <c r="AI206" s="23"/>
      <c r="AJ206" s="23"/>
      <c r="AK206" s="23"/>
      <c r="AL206" s="23"/>
      <c r="AM206" s="26"/>
      <c r="AN206" s="26"/>
      <c r="AO206" s="26"/>
      <c r="AP206" s="26"/>
      <c r="AQ206" s="23"/>
      <c r="AR206" s="23"/>
      <c r="AS206" s="23"/>
      <c r="AT206" s="23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2"/>
      <c r="CA206" s="23"/>
      <c r="CB206" s="23"/>
      <c r="CC206" s="22"/>
      <c r="CD206" s="22"/>
      <c r="CE206" s="23"/>
      <c r="CF206" s="23"/>
      <c r="CG206" s="22"/>
      <c r="CH206" s="23"/>
      <c r="CI206" s="23"/>
      <c r="CJ206" s="22"/>
      <c r="CK206" s="22"/>
      <c r="CM206" s="22"/>
      <c r="CN206" s="23"/>
      <c r="CO206" s="22"/>
    </row>
    <row r="207">
      <c r="G207" s="22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3"/>
      <c r="U207" s="23"/>
      <c r="V207" s="23"/>
      <c r="W207" s="23"/>
      <c r="X207" s="23"/>
      <c r="Y207" s="26"/>
      <c r="Z207" s="26"/>
      <c r="AA207" s="26"/>
      <c r="AB207" s="26"/>
      <c r="AC207" s="26"/>
      <c r="AD207" s="26"/>
      <c r="AE207" s="26"/>
      <c r="AF207" s="26"/>
      <c r="AG207" s="23"/>
      <c r="AH207" s="23"/>
      <c r="AI207" s="23"/>
      <c r="AJ207" s="23"/>
      <c r="AK207" s="23"/>
      <c r="AL207" s="23"/>
      <c r="AM207" s="26"/>
      <c r="AN207" s="26"/>
      <c r="AO207" s="26"/>
      <c r="AP207" s="26"/>
      <c r="AQ207" s="23"/>
      <c r="AR207" s="23"/>
      <c r="AS207" s="23"/>
      <c r="AT207" s="23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2"/>
      <c r="CA207" s="23"/>
      <c r="CB207" s="23"/>
      <c r="CC207" s="22"/>
      <c r="CD207" s="22"/>
      <c r="CE207" s="23"/>
      <c r="CF207" s="23"/>
      <c r="CG207" s="22"/>
      <c r="CH207" s="23"/>
      <c r="CI207" s="23"/>
      <c r="CJ207" s="22"/>
      <c r="CK207" s="22"/>
      <c r="CM207" s="22"/>
      <c r="CN207" s="23"/>
      <c r="CO207" s="22"/>
    </row>
    <row r="208">
      <c r="G208" s="22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3"/>
      <c r="U208" s="23"/>
      <c r="V208" s="23"/>
      <c r="W208" s="23"/>
      <c r="X208" s="23"/>
      <c r="Y208" s="26"/>
      <c r="Z208" s="26"/>
      <c r="AA208" s="26"/>
      <c r="AB208" s="26"/>
      <c r="AC208" s="26"/>
      <c r="AD208" s="26"/>
      <c r="AE208" s="26"/>
      <c r="AF208" s="26"/>
      <c r="AG208" s="23"/>
      <c r="AH208" s="23"/>
      <c r="AI208" s="23"/>
      <c r="AJ208" s="23"/>
      <c r="AK208" s="23"/>
      <c r="AL208" s="23"/>
      <c r="AM208" s="26"/>
      <c r="AN208" s="26"/>
      <c r="AO208" s="26"/>
      <c r="AP208" s="26"/>
      <c r="AQ208" s="23"/>
      <c r="AR208" s="23"/>
      <c r="AS208" s="23"/>
      <c r="AT208" s="23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2"/>
      <c r="CA208" s="23"/>
      <c r="CB208" s="23"/>
      <c r="CC208" s="22"/>
      <c r="CD208" s="22"/>
      <c r="CE208" s="23"/>
      <c r="CF208" s="23"/>
      <c r="CG208" s="22"/>
      <c r="CH208" s="23"/>
      <c r="CI208" s="23"/>
      <c r="CJ208" s="22"/>
      <c r="CK208" s="22"/>
      <c r="CM208" s="22"/>
      <c r="CN208" s="23"/>
      <c r="CO208" s="22"/>
    </row>
    <row r="209">
      <c r="G209" s="22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3"/>
      <c r="U209" s="23"/>
      <c r="V209" s="23"/>
      <c r="W209" s="23"/>
      <c r="X209" s="23"/>
      <c r="Y209" s="26"/>
      <c r="Z209" s="26"/>
      <c r="AA209" s="26"/>
      <c r="AB209" s="26"/>
      <c r="AC209" s="26"/>
      <c r="AD209" s="26"/>
      <c r="AE209" s="26"/>
      <c r="AF209" s="26"/>
      <c r="AG209" s="23"/>
      <c r="AH209" s="23"/>
      <c r="AI209" s="23"/>
      <c r="AJ209" s="23"/>
      <c r="AK209" s="23"/>
      <c r="AL209" s="23"/>
      <c r="AM209" s="26"/>
      <c r="AN209" s="26"/>
      <c r="AO209" s="26"/>
      <c r="AP209" s="26"/>
      <c r="AQ209" s="23"/>
      <c r="AR209" s="23"/>
      <c r="AS209" s="23"/>
      <c r="AT209" s="23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2"/>
      <c r="CA209" s="23"/>
      <c r="CB209" s="23"/>
      <c r="CC209" s="22"/>
      <c r="CD209" s="22"/>
      <c r="CE209" s="23"/>
      <c r="CF209" s="23"/>
      <c r="CG209" s="22"/>
      <c r="CH209" s="23"/>
      <c r="CI209" s="23"/>
      <c r="CJ209" s="22"/>
      <c r="CK209" s="22"/>
      <c r="CM209" s="22"/>
      <c r="CN209" s="23"/>
      <c r="CO209" s="22"/>
    </row>
    <row r="210">
      <c r="G210" s="22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3"/>
      <c r="U210" s="23"/>
      <c r="V210" s="23"/>
      <c r="W210" s="23"/>
      <c r="X210" s="23"/>
      <c r="Y210" s="26"/>
      <c r="Z210" s="26"/>
      <c r="AA210" s="26"/>
      <c r="AB210" s="26"/>
      <c r="AC210" s="26"/>
      <c r="AD210" s="26"/>
      <c r="AE210" s="26"/>
      <c r="AF210" s="26"/>
      <c r="AG210" s="23"/>
      <c r="AH210" s="23"/>
      <c r="AI210" s="23"/>
      <c r="AJ210" s="23"/>
      <c r="AK210" s="23"/>
      <c r="AL210" s="23"/>
      <c r="AM210" s="26"/>
      <c r="AN210" s="26"/>
      <c r="AO210" s="26"/>
      <c r="AP210" s="26"/>
      <c r="AQ210" s="23"/>
      <c r="AR210" s="23"/>
      <c r="AS210" s="23"/>
      <c r="AT210" s="23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2"/>
      <c r="CA210" s="23"/>
      <c r="CB210" s="23"/>
      <c r="CC210" s="22"/>
      <c r="CD210" s="22"/>
      <c r="CE210" s="23"/>
      <c r="CF210" s="23"/>
      <c r="CG210" s="22"/>
      <c r="CH210" s="23"/>
      <c r="CI210" s="23"/>
      <c r="CJ210" s="22"/>
      <c r="CK210" s="22"/>
      <c r="CM210" s="22"/>
      <c r="CN210" s="23"/>
      <c r="CO210" s="22"/>
    </row>
    <row r="211">
      <c r="G211" s="22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3"/>
      <c r="U211" s="23"/>
      <c r="V211" s="23"/>
      <c r="W211" s="23"/>
      <c r="X211" s="23"/>
      <c r="Y211" s="26"/>
      <c r="Z211" s="26"/>
      <c r="AA211" s="26"/>
      <c r="AB211" s="26"/>
      <c r="AC211" s="26"/>
      <c r="AD211" s="26"/>
      <c r="AE211" s="26"/>
      <c r="AF211" s="26"/>
      <c r="AG211" s="23"/>
      <c r="AH211" s="23"/>
      <c r="AI211" s="23"/>
      <c r="AJ211" s="23"/>
      <c r="AK211" s="23"/>
      <c r="AL211" s="23"/>
      <c r="AM211" s="26"/>
      <c r="AN211" s="26"/>
      <c r="AO211" s="26"/>
      <c r="AP211" s="26"/>
      <c r="AQ211" s="23"/>
      <c r="AR211" s="23"/>
      <c r="AS211" s="23"/>
      <c r="AT211" s="23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2"/>
      <c r="CA211" s="23"/>
      <c r="CB211" s="23"/>
      <c r="CC211" s="22"/>
      <c r="CD211" s="22"/>
      <c r="CE211" s="23"/>
      <c r="CF211" s="23"/>
      <c r="CG211" s="22"/>
      <c r="CH211" s="23"/>
      <c r="CI211" s="23"/>
      <c r="CJ211" s="22"/>
      <c r="CK211" s="22"/>
      <c r="CM211" s="22"/>
      <c r="CN211" s="23"/>
      <c r="CO211" s="22"/>
    </row>
    <row r="212">
      <c r="G212" s="22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3"/>
      <c r="U212" s="23"/>
      <c r="V212" s="23"/>
      <c r="W212" s="23"/>
      <c r="X212" s="23"/>
      <c r="Y212" s="26"/>
      <c r="Z212" s="26"/>
      <c r="AA212" s="26"/>
      <c r="AB212" s="26"/>
      <c r="AC212" s="26"/>
      <c r="AD212" s="26"/>
      <c r="AE212" s="26"/>
      <c r="AF212" s="26"/>
      <c r="AG212" s="23"/>
      <c r="AH212" s="23"/>
      <c r="AI212" s="23"/>
      <c r="AJ212" s="23"/>
      <c r="AK212" s="23"/>
      <c r="AL212" s="23"/>
      <c r="AM212" s="26"/>
      <c r="AN212" s="26"/>
      <c r="AO212" s="26"/>
      <c r="AP212" s="26"/>
      <c r="AQ212" s="23"/>
      <c r="AR212" s="23"/>
      <c r="AS212" s="23"/>
      <c r="AT212" s="23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2"/>
      <c r="CA212" s="23"/>
      <c r="CB212" s="23"/>
      <c r="CC212" s="22"/>
      <c r="CD212" s="22"/>
      <c r="CE212" s="23"/>
      <c r="CF212" s="23"/>
      <c r="CG212" s="22"/>
      <c r="CH212" s="23"/>
      <c r="CI212" s="23"/>
      <c r="CJ212" s="22"/>
      <c r="CK212" s="22"/>
      <c r="CM212" s="22"/>
      <c r="CN212" s="23"/>
      <c r="CO212" s="22"/>
    </row>
    <row r="213">
      <c r="G213" s="22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3"/>
      <c r="U213" s="23"/>
      <c r="V213" s="23"/>
      <c r="W213" s="23"/>
      <c r="X213" s="23"/>
      <c r="Y213" s="26"/>
      <c r="Z213" s="26"/>
      <c r="AA213" s="26"/>
      <c r="AB213" s="26"/>
      <c r="AC213" s="26"/>
      <c r="AD213" s="26"/>
      <c r="AE213" s="26"/>
      <c r="AF213" s="26"/>
      <c r="AG213" s="23"/>
      <c r="AH213" s="23"/>
      <c r="AI213" s="23"/>
      <c r="AJ213" s="23"/>
      <c r="AK213" s="23"/>
      <c r="AL213" s="23"/>
      <c r="AM213" s="26"/>
      <c r="AN213" s="26"/>
      <c r="AO213" s="26"/>
      <c r="AP213" s="26"/>
      <c r="AQ213" s="23"/>
      <c r="AR213" s="23"/>
      <c r="AS213" s="23"/>
      <c r="AT213" s="23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2"/>
      <c r="CA213" s="23"/>
      <c r="CB213" s="23"/>
      <c r="CC213" s="22"/>
      <c r="CD213" s="22"/>
      <c r="CE213" s="23"/>
      <c r="CF213" s="23"/>
      <c r="CG213" s="22"/>
      <c r="CH213" s="23"/>
      <c r="CI213" s="23"/>
      <c r="CJ213" s="22"/>
      <c r="CK213" s="22"/>
      <c r="CM213" s="22"/>
      <c r="CN213" s="23"/>
      <c r="CO213" s="22"/>
    </row>
    <row r="214">
      <c r="G214" s="22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3"/>
      <c r="U214" s="23"/>
      <c r="V214" s="23"/>
      <c r="W214" s="23"/>
      <c r="X214" s="23"/>
      <c r="Y214" s="26"/>
      <c r="Z214" s="26"/>
      <c r="AA214" s="26"/>
      <c r="AB214" s="26"/>
      <c r="AC214" s="26"/>
      <c r="AD214" s="26"/>
      <c r="AE214" s="26"/>
      <c r="AF214" s="26"/>
      <c r="AG214" s="23"/>
      <c r="AH214" s="23"/>
      <c r="AI214" s="23"/>
      <c r="AJ214" s="23"/>
      <c r="AK214" s="23"/>
      <c r="AL214" s="23"/>
      <c r="AM214" s="26"/>
      <c r="AN214" s="26"/>
      <c r="AO214" s="26"/>
      <c r="AP214" s="26"/>
      <c r="AQ214" s="23"/>
      <c r="AR214" s="23"/>
      <c r="AS214" s="23"/>
      <c r="AT214" s="23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2"/>
      <c r="CA214" s="23"/>
      <c r="CB214" s="23"/>
      <c r="CC214" s="22"/>
      <c r="CD214" s="22"/>
      <c r="CE214" s="23"/>
      <c r="CF214" s="23"/>
      <c r="CG214" s="22"/>
      <c r="CH214" s="23"/>
      <c r="CI214" s="23"/>
      <c r="CJ214" s="22"/>
      <c r="CK214" s="22"/>
      <c r="CM214" s="22"/>
      <c r="CN214" s="23"/>
      <c r="CO214" s="22"/>
    </row>
    <row r="215">
      <c r="G215" s="22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3"/>
      <c r="U215" s="23"/>
      <c r="V215" s="23"/>
      <c r="W215" s="23"/>
      <c r="X215" s="23"/>
      <c r="Y215" s="26"/>
      <c r="Z215" s="26"/>
      <c r="AA215" s="26"/>
      <c r="AB215" s="26"/>
      <c r="AC215" s="26"/>
      <c r="AD215" s="26"/>
      <c r="AE215" s="26"/>
      <c r="AF215" s="26"/>
      <c r="AG215" s="23"/>
      <c r="AH215" s="23"/>
      <c r="AI215" s="23"/>
      <c r="AJ215" s="23"/>
      <c r="AK215" s="23"/>
      <c r="AL215" s="23"/>
      <c r="AM215" s="26"/>
      <c r="AN215" s="26"/>
      <c r="AO215" s="26"/>
      <c r="AP215" s="26"/>
      <c r="AQ215" s="23"/>
      <c r="AR215" s="23"/>
      <c r="AS215" s="23"/>
      <c r="AT215" s="23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2"/>
      <c r="CA215" s="23"/>
      <c r="CB215" s="23"/>
      <c r="CC215" s="22"/>
      <c r="CD215" s="22"/>
      <c r="CE215" s="23"/>
      <c r="CF215" s="23"/>
      <c r="CG215" s="22"/>
      <c r="CH215" s="23"/>
      <c r="CI215" s="23"/>
      <c r="CJ215" s="22"/>
      <c r="CK215" s="22"/>
      <c r="CM215" s="22"/>
      <c r="CN215" s="23"/>
      <c r="CO215" s="22"/>
    </row>
    <row r="216">
      <c r="G216" s="22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3"/>
      <c r="U216" s="23"/>
      <c r="V216" s="23"/>
      <c r="W216" s="23"/>
      <c r="X216" s="23"/>
      <c r="Y216" s="26"/>
      <c r="Z216" s="26"/>
      <c r="AA216" s="26"/>
      <c r="AB216" s="26"/>
      <c r="AC216" s="26"/>
      <c r="AD216" s="26"/>
      <c r="AE216" s="26"/>
      <c r="AF216" s="26"/>
      <c r="AG216" s="23"/>
      <c r="AH216" s="23"/>
      <c r="AI216" s="23"/>
      <c r="AJ216" s="23"/>
      <c r="AK216" s="23"/>
      <c r="AL216" s="23"/>
      <c r="AM216" s="26"/>
      <c r="AN216" s="26"/>
      <c r="AO216" s="26"/>
      <c r="AP216" s="26"/>
      <c r="AQ216" s="23"/>
      <c r="AR216" s="23"/>
      <c r="AS216" s="23"/>
      <c r="AT216" s="23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2"/>
      <c r="CA216" s="23"/>
      <c r="CB216" s="23"/>
      <c r="CC216" s="22"/>
      <c r="CD216" s="22"/>
      <c r="CE216" s="23"/>
      <c r="CF216" s="23"/>
      <c r="CG216" s="22"/>
      <c r="CH216" s="23"/>
      <c r="CI216" s="23"/>
      <c r="CJ216" s="22"/>
      <c r="CK216" s="22"/>
      <c r="CM216" s="22"/>
      <c r="CN216" s="23"/>
      <c r="CO216" s="22"/>
    </row>
    <row r="217">
      <c r="G217" s="22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3"/>
      <c r="U217" s="23"/>
      <c r="V217" s="23"/>
      <c r="W217" s="23"/>
      <c r="X217" s="23"/>
      <c r="Y217" s="26"/>
      <c r="Z217" s="26"/>
      <c r="AA217" s="26"/>
      <c r="AB217" s="26"/>
      <c r="AC217" s="26"/>
      <c r="AD217" s="26"/>
      <c r="AE217" s="26"/>
      <c r="AF217" s="26"/>
      <c r="AG217" s="23"/>
      <c r="AH217" s="23"/>
      <c r="AI217" s="23"/>
      <c r="AJ217" s="23"/>
      <c r="AK217" s="23"/>
      <c r="AL217" s="23"/>
      <c r="AM217" s="26"/>
      <c r="AN217" s="26"/>
      <c r="AO217" s="26"/>
      <c r="AP217" s="26"/>
      <c r="AQ217" s="23"/>
      <c r="AR217" s="23"/>
      <c r="AS217" s="23"/>
      <c r="AT217" s="23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2"/>
      <c r="CA217" s="23"/>
      <c r="CB217" s="23"/>
      <c r="CC217" s="22"/>
      <c r="CD217" s="22"/>
      <c r="CE217" s="23"/>
      <c r="CF217" s="23"/>
      <c r="CG217" s="22"/>
      <c r="CH217" s="23"/>
      <c r="CI217" s="23"/>
      <c r="CJ217" s="22"/>
      <c r="CK217" s="22"/>
      <c r="CM217" s="22"/>
      <c r="CN217" s="23"/>
      <c r="CO217" s="22"/>
    </row>
    <row r="218">
      <c r="G218" s="22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3"/>
      <c r="U218" s="23"/>
      <c r="V218" s="23"/>
      <c r="W218" s="23"/>
      <c r="X218" s="23"/>
      <c r="Y218" s="26"/>
      <c r="Z218" s="26"/>
      <c r="AA218" s="26"/>
      <c r="AB218" s="26"/>
      <c r="AC218" s="26"/>
      <c r="AD218" s="26"/>
      <c r="AE218" s="26"/>
      <c r="AF218" s="26"/>
      <c r="AG218" s="23"/>
      <c r="AH218" s="23"/>
      <c r="AI218" s="23"/>
      <c r="AJ218" s="23"/>
      <c r="AK218" s="23"/>
      <c r="AL218" s="23"/>
      <c r="AM218" s="26"/>
      <c r="AN218" s="26"/>
      <c r="AO218" s="26"/>
      <c r="AP218" s="26"/>
      <c r="AQ218" s="23"/>
      <c r="AR218" s="23"/>
      <c r="AS218" s="23"/>
      <c r="AT218" s="23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2"/>
      <c r="CA218" s="23"/>
      <c r="CB218" s="23"/>
      <c r="CC218" s="22"/>
      <c r="CD218" s="22"/>
      <c r="CE218" s="23"/>
      <c r="CF218" s="23"/>
      <c r="CG218" s="22"/>
      <c r="CH218" s="23"/>
      <c r="CI218" s="23"/>
      <c r="CJ218" s="22"/>
      <c r="CK218" s="22"/>
      <c r="CM218" s="22"/>
      <c r="CN218" s="23"/>
      <c r="CO218" s="22"/>
    </row>
    <row r="219">
      <c r="G219" s="22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3"/>
      <c r="U219" s="23"/>
      <c r="V219" s="23"/>
      <c r="W219" s="23"/>
      <c r="X219" s="23"/>
      <c r="Y219" s="26"/>
      <c r="Z219" s="26"/>
      <c r="AA219" s="26"/>
      <c r="AB219" s="26"/>
      <c r="AC219" s="26"/>
      <c r="AD219" s="26"/>
      <c r="AE219" s="26"/>
      <c r="AF219" s="26"/>
      <c r="AG219" s="23"/>
      <c r="AH219" s="23"/>
      <c r="AI219" s="23"/>
      <c r="AJ219" s="23"/>
      <c r="AK219" s="23"/>
      <c r="AL219" s="23"/>
      <c r="AM219" s="26"/>
      <c r="AN219" s="26"/>
      <c r="AO219" s="26"/>
      <c r="AP219" s="26"/>
      <c r="AQ219" s="23"/>
      <c r="AR219" s="23"/>
      <c r="AS219" s="23"/>
      <c r="AT219" s="23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2"/>
      <c r="CA219" s="23"/>
      <c r="CB219" s="23"/>
      <c r="CC219" s="22"/>
      <c r="CD219" s="22"/>
      <c r="CE219" s="23"/>
      <c r="CF219" s="23"/>
      <c r="CG219" s="22"/>
      <c r="CH219" s="23"/>
      <c r="CI219" s="23"/>
      <c r="CJ219" s="22"/>
      <c r="CK219" s="22"/>
      <c r="CM219" s="22"/>
      <c r="CN219" s="23"/>
      <c r="CO219" s="22"/>
    </row>
    <row r="220">
      <c r="G220" s="22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3"/>
      <c r="U220" s="23"/>
      <c r="V220" s="23"/>
      <c r="W220" s="23"/>
      <c r="X220" s="23"/>
      <c r="Y220" s="26"/>
      <c r="Z220" s="26"/>
      <c r="AA220" s="26"/>
      <c r="AB220" s="26"/>
      <c r="AC220" s="26"/>
      <c r="AD220" s="26"/>
      <c r="AE220" s="26"/>
      <c r="AF220" s="26"/>
      <c r="AG220" s="23"/>
      <c r="AH220" s="23"/>
      <c r="AI220" s="23"/>
      <c r="AJ220" s="23"/>
      <c r="AK220" s="23"/>
      <c r="AL220" s="23"/>
      <c r="AM220" s="26"/>
      <c r="AN220" s="26"/>
      <c r="AO220" s="26"/>
      <c r="AP220" s="26"/>
      <c r="AQ220" s="23"/>
      <c r="AR220" s="23"/>
      <c r="AS220" s="23"/>
      <c r="AT220" s="23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2"/>
      <c r="CA220" s="23"/>
      <c r="CB220" s="23"/>
      <c r="CC220" s="22"/>
      <c r="CD220" s="22"/>
      <c r="CE220" s="23"/>
      <c r="CF220" s="23"/>
      <c r="CG220" s="22"/>
      <c r="CH220" s="23"/>
      <c r="CI220" s="23"/>
      <c r="CJ220" s="22"/>
      <c r="CK220" s="22"/>
      <c r="CM220" s="22"/>
      <c r="CN220" s="23"/>
      <c r="CO220" s="22"/>
    </row>
    <row r="221">
      <c r="G221" s="22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3"/>
      <c r="U221" s="23"/>
      <c r="V221" s="23"/>
      <c r="W221" s="23"/>
      <c r="X221" s="23"/>
      <c r="Y221" s="26"/>
      <c r="Z221" s="26"/>
      <c r="AA221" s="26"/>
      <c r="AB221" s="26"/>
      <c r="AC221" s="26"/>
      <c r="AD221" s="26"/>
      <c r="AE221" s="26"/>
      <c r="AF221" s="26"/>
      <c r="AG221" s="23"/>
      <c r="AH221" s="23"/>
      <c r="AI221" s="23"/>
      <c r="AJ221" s="23"/>
      <c r="AK221" s="23"/>
      <c r="AL221" s="23"/>
      <c r="AM221" s="26"/>
      <c r="AN221" s="26"/>
      <c r="AO221" s="26"/>
      <c r="AP221" s="26"/>
      <c r="AQ221" s="23"/>
      <c r="AR221" s="23"/>
      <c r="AS221" s="23"/>
      <c r="AT221" s="23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2"/>
      <c r="CA221" s="23"/>
      <c r="CB221" s="23"/>
      <c r="CC221" s="22"/>
      <c r="CD221" s="22"/>
      <c r="CE221" s="23"/>
      <c r="CF221" s="23"/>
      <c r="CG221" s="22"/>
      <c r="CH221" s="23"/>
      <c r="CI221" s="23"/>
      <c r="CJ221" s="22"/>
      <c r="CK221" s="22"/>
      <c r="CM221" s="22"/>
      <c r="CN221" s="23"/>
      <c r="CO221" s="22"/>
    </row>
    <row r="222">
      <c r="G222" s="22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3"/>
      <c r="U222" s="23"/>
      <c r="V222" s="23"/>
      <c r="W222" s="23"/>
      <c r="X222" s="23"/>
      <c r="Y222" s="26"/>
      <c r="Z222" s="26"/>
      <c r="AA222" s="26"/>
      <c r="AB222" s="26"/>
      <c r="AC222" s="26"/>
      <c r="AD222" s="26"/>
      <c r="AE222" s="26"/>
      <c r="AF222" s="26"/>
      <c r="AG222" s="23"/>
      <c r="AH222" s="23"/>
      <c r="AI222" s="23"/>
      <c r="AJ222" s="23"/>
      <c r="AK222" s="23"/>
      <c r="AL222" s="23"/>
      <c r="AM222" s="26"/>
      <c r="AN222" s="26"/>
      <c r="AO222" s="26"/>
      <c r="AP222" s="26"/>
      <c r="AQ222" s="23"/>
      <c r="AR222" s="23"/>
      <c r="AS222" s="23"/>
      <c r="AT222" s="23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2"/>
      <c r="CA222" s="23"/>
      <c r="CB222" s="23"/>
      <c r="CC222" s="22"/>
      <c r="CD222" s="22"/>
      <c r="CE222" s="23"/>
      <c r="CF222" s="23"/>
      <c r="CG222" s="22"/>
      <c r="CH222" s="23"/>
      <c r="CI222" s="23"/>
      <c r="CJ222" s="22"/>
      <c r="CK222" s="22"/>
      <c r="CM222" s="22"/>
      <c r="CN222" s="23"/>
      <c r="CO222" s="22"/>
    </row>
    <row r="223">
      <c r="G223" s="22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3"/>
      <c r="U223" s="23"/>
      <c r="V223" s="23"/>
      <c r="W223" s="23"/>
      <c r="X223" s="23"/>
      <c r="Y223" s="26"/>
      <c r="Z223" s="26"/>
      <c r="AA223" s="26"/>
      <c r="AB223" s="26"/>
      <c r="AC223" s="26"/>
      <c r="AD223" s="26"/>
      <c r="AE223" s="26"/>
      <c r="AF223" s="26"/>
      <c r="AG223" s="23"/>
      <c r="AH223" s="23"/>
      <c r="AI223" s="23"/>
      <c r="AJ223" s="23"/>
      <c r="AK223" s="23"/>
      <c r="AL223" s="23"/>
      <c r="AM223" s="26"/>
      <c r="AN223" s="26"/>
      <c r="AO223" s="26"/>
      <c r="AP223" s="26"/>
      <c r="AQ223" s="23"/>
      <c r="AR223" s="23"/>
      <c r="AS223" s="23"/>
      <c r="AT223" s="23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2"/>
      <c r="CA223" s="23"/>
      <c r="CB223" s="23"/>
      <c r="CC223" s="22"/>
      <c r="CD223" s="22"/>
      <c r="CE223" s="23"/>
      <c r="CF223" s="23"/>
      <c r="CG223" s="22"/>
      <c r="CH223" s="23"/>
      <c r="CI223" s="23"/>
      <c r="CJ223" s="22"/>
      <c r="CK223" s="22"/>
      <c r="CM223" s="22"/>
      <c r="CN223" s="23"/>
      <c r="CO223" s="22"/>
    </row>
    <row r="224">
      <c r="G224" s="22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3"/>
      <c r="U224" s="23"/>
      <c r="V224" s="23"/>
      <c r="W224" s="23"/>
      <c r="X224" s="23"/>
      <c r="Y224" s="26"/>
      <c r="Z224" s="26"/>
      <c r="AA224" s="26"/>
      <c r="AB224" s="26"/>
      <c r="AC224" s="26"/>
      <c r="AD224" s="26"/>
      <c r="AE224" s="26"/>
      <c r="AF224" s="26"/>
      <c r="AG224" s="23"/>
      <c r="AH224" s="23"/>
      <c r="AI224" s="23"/>
      <c r="AJ224" s="23"/>
      <c r="AK224" s="23"/>
      <c r="AL224" s="23"/>
      <c r="AM224" s="26"/>
      <c r="AN224" s="26"/>
      <c r="AO224" s="26"/>
      <c r="AP224" s="26"/>
      <c r="AQ224" s="23"/>
      <c r="AR224" s="23"/>
      <c r="AS224" s="23"/>
      <c r="AT224" s="23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2"/>
      <c r="CA224" s="23"/>
      <c r="CB224" s="23"/>
      <c r="CC224" s="22"/>
      <c r="CD224" s="22"/>
      <c r="CE224" s="23"/>
      <c r="CF224" s="23"/>
      <c r="CG224" s="22"/>
      <c r="CH224" s="23"/>
      <c r="CI224" s="23"/>
      <c r="CJ224" s="22"/>
      <c r="CK224" s="22"/>
      <c r="CM224" s="22"/>
      <c r="CN224" s="23"/>
      <c r="CO224" s="22"/>
    </row>
    <row r="225">
      <c r="G225" s="22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3"/>
      <c r="U225" s="23"/>
      <c r="V225" s="23"/>
      <c r="W225" s="23"/>
      <c r="X225" s="23"/>
      <c r="Y225" s="26"/>
      <c r="Z225" s="26"/>
      <c r="AA225" s="26"/>
      <c r="AB225" s="26"/>
      <c r="AC225" s="26"/>
      <c r="AD225" s="26"/>
      <c r="AE225" s="26"/>
      <c r="AF225" s="26"/>
      <c r="AG225" s="23"/>
      <c r="AH225" s="23"/>
      <c r="AI225" s="23"/>
      <c r="AJ225" s="23"/>
      <c r="AK225" s="23"/>
      <c r="AL225" s="23"/>
      <c r="AM225" s="26"/>
      <c r="AN225" s="26"/>
      <c r="AO225" s="26"/>
      <c r="AP225" s="26"/>
      <c r="AQ225" s="23"/>
      <c r="AR225" s="23"/>
      <c r="AS225" s="23"/>
      <c r="AT225" s="23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2"/>
      <c r="CA225" s="23"/>
      <c r="CB225" s="23"/>
      <c r="CC225" s="22"/>
      <c r="CD225" s="22"/>
      <c r="CE225" s="23"/>
      <c r="CF225" s="23"/>
      <c r="CG225" s="22"/>
      <c r="CH225" s="23"/>
      <c r="CI225" s="23"/>
      <c r="CJ225" s="22"/>
      <c r="CK225" s="22"/>
      <c r="CM225" s="22"/>
      <c r="CN225" s="23"/>
      <c r="CO225" s="22"/>
    </row>
    <row r="226">
      <c r="G226" s="22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3"/>
      <c r="U226" s="23"/>
      <c r="V226" s="23"/>
      <c r="W226" s="23"/>
      <c r="X226" s="23"/>
      <c r="Y226" s="26"/>
      <c r="Z226" s="26"/>
      <c r="AA226" s="26"/>
      <c r="AB226" s="26"/>
      <c r="AC226" s="26"/>
      <c r="AD226" s="26"/>
      <c r="AE226" s="26"/>
      <c r="AF226" s="26"/>
      <c r="AG226" s="23"/>
      <c r="AH226" s="23"/>
      <c r="AI226" s="23"/>
      <c r="AJ226" s="23"/>
      <c r="AK226" s="23"/>
      <c r="AL226" s="23"/>
      <c r="AM226" s="26"/>
      <c r="AN226" s="26"/>
      <c r="AO226" s="26"/>
      <c r="AP226" s="26"/>
      <c r="AQ226" s="23"/>
      <c r="AR226" s="23"/>
      <c r="AS226" s="23"/>
      <c r="AT226" s="23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2"/>
      <c r="CA226" s="23"/>
      <c r="CB226" s="23"/>
      <c r="CC226" s="22"/>
      <c r="CD226" s="22"/>
      <c r="CE226" s="23"/>
      <c r="CF226" s="23"/>
      <c r="CG226" s="22"/>
      <c r="CH226" s="23"/>
      <c r="CI226" s="23"/>
      <c r="CJ226" s="22"/>
      <c r="CK226" s="22"/>
      <c r="CM226" s="22"/>
      <c r="CN226" s="23"/>
      <c r="CO226" s="22"/>
    </row>
    <row r="227">
      <c r="G227" s="22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3"/>
      <c r="U227" s="23"/>
      <c r="V227" s="23"/>
      <c r="W227" s="23"/>
      <c r="X227" s="23"/>
      <c r="Y227" s="26"/>
      <c r="Z227" s="26"/>
      <c r="AA227" s="26"/>
      <c r="AB227" s="26"/>
      <c r="AC227" s="26"/>
      <c r="AD227" s="26"/>
      <c r="AE227" s="26"/>
      <c r="AF227" s="26"/>
      <c r="AG227" s="23"/>
      <c r="AH227" s="23"/>
      <c r="AI227" s="23"/>
      <c r="AJ227" s="23"/>
      <c r="AK227" s="23"/>
      <c r="AL227" s="23"/>
      <c r="AM227" s="26"/>
      <c r="AN227" s="26"/>
      <c r="AO227" s="26"/>
      <c r="AP227" s="26"/>
      <c r="AQ227" s="23"/>
      <c r="AR227" s="23"/>
      <c r="AS227" s="23"/>
      <c r="AT227" s="23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2"/>
      <c r="CA227" s="23"/>
      <c r="CB227" s="23"/>
      <c r="CC227" s="22"/>
      <c r="CD227" s="22"/>
      <c r="CE227" s="23"/>
      <c r="CF227" s="23"/>
      <c r="CG227" s="22"/>
      <c r="CH227" s="23"/>
      <c r="CI227" s="23"/>
      <c r="CJ227" s="22"/>
      <c r="CK227" s="22"/>
      <c r="CM227" s="22"/>
      <c r="CN227" s="23"/>
      <c r="CO227" s="22"/>
    </row>
    <row r="228">
      <c r="G228" s="22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3"/>
      <c r="U228" s="23"/>
      <c r="V228" s="23"/>
      <c r="W228" s="23"/>
      <c r="X228" s="23"/>
      <c r="Y228" s="26"/>
      <c r="Z228" s="26"/>
      <c r="AA228" s="26"/>
      <c r="AB228" s="26"/>
      <c r="AC228" s="26"/>
      <c r="AD228" s="26"/>
      <c r="AE228" s="26"/>
      <c r="AF228" s="26"/>
      <c r="AG228" s="23"/>
      <c r="AH228" s="23"/>
      <c r="AI228" s="23"/>
      <c r="AJ228" s="23"/>
      <c r="AK228" s="23"/>
      <c r="AL228" s="23"/>
      <c r="AM228" s="26"/>
      <c r="AN228" s="26"/>
      <c r="AO228" s="26"/>
      <c r="AP228" s="26"/>
      <c r="AQ228" s="23"/>
      <c r="AR228" s="23"/>
      <c r="AS228" s="23"/>
      <c r="AT228" s="23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2"/>
      <c r="CA228" s="23"/>
      <c r="CB228" s="23"/>
      <c r="CC228" s="22"/>
      <c r="CD228" s="22"/>
      <c r="CE228" s="23"/>
      <c r="CF228" s="23"/>
      <c r="CG228" s="22"/>
      <c r="CH228" s="23"/>
      <c r="CI228" s="23"/>
      <c r="CJ228" s="22"/>
      <c r="CK228" s="22"/>
      <c r="CM228" s="22"/>
      <c r="CN228" s="23"/>
      <c r="CO228" s="22"/>
    </row>
    <row r="229">
      <c r="G229" s="22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3"/>
      <c r="U229" s="23"/>
      <c r="V229" s="23"/>
      <c r="W229" s="23"/>
      <c r="X229" s="23"/>
      <c r="Y229" s="26"/>
      <c r="Z229" s="26"/>
      <c r="AA229" s="26"/>
      <c r="AB229" s="26"/>
      <c r="AC229" s="26"/>
      <c r="AD229" s="26"/>
      <c r="AE229" s="26"/>
      <c r="AF229" s="26"/>
      <c r="AG229" s="23"/>
      <c r="AH229" s="23"/>
      <c r="AI229" s="23"/>
      <c r="AJ229" s="23"/>
      <c r="AK229" s="23"/>
      <c r="AL229" s="23"/>
      <c r="AM229" s="26"/>
      <c r="AN229" s="26"/>
      <c r="AO229" s="26"/>
      <c r="AP229" s="26"/>
      <c r="AQ229" s="23"/>
      <c r="AR229" s="23"/>
      <c r="AS229" s="23"/>
      <c r="AT229" s="23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2"/>
      <c r="CA229" s="23"/>
      <c r="CB229" s="23"/>
      <c r="CC229" s="22"/>
      <c r="CD229" s="22"/>
      <c r="CE229" s="23"/>
      <c r="CF229" s="23"/>
      <c r="CG229" s="22"/>
      <c r="CH229" s="23"/>
      <c r="CI229" s="23"/>
      <c r="CJ229" s="22"/>
      <c r="CK229" s="22"/>
      <c r="CM229" s="22"/>
      <c r="CN229" s="23"/>
      <c r="CO229" s="22"/>
    </row>
    <row r="230">
      <c r="G230" s="22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3"/>
      <c r="U230" s="23"/>
      <c r="V230" s="23"/>
      <c r="W230" s="23"/>
      <c r="X230" s="23"/>
      <c r="Y230" s="26"/>
      <c r="Z230" s="26"/>
      <c r="AA230" s="26"/>
      <c r="AB230" s="26"/>
      <c r="AC230" s="26"/>
      <c r="AD230" s="26"/>
      <c r="AE230" s="26"/>
      <c r="AF230" s="26"/>
      <c r="AG230" s="23"/>
      <c r="AH230" s="23"/>
      <c r="AI230" s="23"/>
      <c r="AJ230" s="23"/>
      <c r="AK230" s="23"/>
      <c r="AL230" s="23"/>
      <c r="AM230" s="26"/>
      <c r="AN230" s="26"/>
      <c r="AO230" s="26"/>
      <c r="AP230" s="26"/>
      <c r="AQ230" s="23"/>
      <c r="AR230" s="23"/>
      <c r="AS230" s="23"/>
      <c r="AT230" s="23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2"/>
      <c r="CA230" s="23"/>
      <c r="CB230" s="23"/>
      <c r="CC230" s="22"/>
      <c r="CD230" s="22"/>
      <c r="CE230" s="23"/>
      <c r="CF230" s="23"/>
      <c r="CG230" s="22"/>
      <c r="CH230" s="23"/>
      <c r="CI230" s="23"/>
      <c r="CJ230" s="22"/>
      <c r="CK230" s="22"/>
      <c r="CM230" s="22"/>
      <c r="CN230" s="23"/>
      <c r="CO230" s="22"/>
    </row>
    <row r="231">
      <c r="G231" s="22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3"/>
      <c r="U231" s="23"/>
      <c r="V231" s="23"/>
      <c r="W231" s="23"/>
      <c r="X231" s="23"/>
      <c r="Y231" s="26"/>
      <c r="Z231" s="26"/>
      <c r="AA231" s="26"/>
      <c r="AB231" s="26"/>
      <c r="AC231" s="26"/>
      <c r="AD231" s="26"/>
      <c r="AE231" s="26"/>
      <c r="AF231" s="26"/>
      <c r="AG231" s="23"/>
      <c r="AH231" s="23"/>
      <c r="AI231" s="23"/>
      <c r="AJ231" s="23"/>
      <c r="AK231" s="23"/>
      <c r="AL231" s="23"/>
      <c r="AM231" s="26"/>
      <c r="AN231" s="26"/>
      <c r="AO231" s="26"/>
      <c r="AP231" s="26"/>
      <c r="AQ231" s="23"/>
      <c r="AR231" s="23"/>
      <c r="AS231" s="23"/>
      <c r="AT231" s="23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2"/>
      <c r="CA231" s="23"/>
      <c r="CB231" s="23"/>
      <c r="CC231" s="22"/>
      <c r="CD231" s="22"/>
      <c r="CE231" s="23"/>
      <c r="CF231" s="23"/>
      <c r="CG231" s="22"/>
      <c r="CH231" s="23"/>
      <c r="CI231" s="23"/>
      <c r="CJ231" s="22"/>
      <c r="CK231" s="22"/>
      <c r="CM231" s="22"/>
      <c r="CN231" s="23"/>
      <c r="CO231" s="22"/>
    </row>
    <row r="232">
      <c r="G232" s="22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3"/>
      <c r="U232" s="23"/>
      <c r="V232" s="23"/>
      <c r="W232" s="23"/>
      <c r="X232" s="23"/>
      <c r="Y232" s="26"/>
      <c r="Z232" s="26"/>
      <c r="AA232" s="26"/>
      <c r="AB232" s="26"/>
      <c r="AC232" s="26"/>
      <c r="AD232" s="26"/>
      <c r="AE232" s="26"/>
      <c r="AF232" s="26"/>
      <c r="AG232" s="23"/>
      <c r="AH232" s="23"/>
      <c r="AI232" s="23"/>
      <c r="AJ232" s="23"/>
      <c r="AK232" s="23"/>
      <c r="AL232" s="23"/>
      <c r="AM232" s="26"/>
      <c r="AN232" s="26"/>
      <c r="AO232" s="26"/>
      <c r="AP232" s="26"/>
      <c r="AQ232" s="23"/>
      <c r="AR232" s="23"/>
      <c r="AS232" s="23"/>
      <c r="AT232" s="23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2"/>
      <c r="CA232" s="23"/>
      <c r="CB232" s="23"/>
      <c r="CC232" s="22"/>
      <c r="CD232" s="22"/>
      <c r="CE232" s="23"/>
      <c r="CF232" s="23"/>
      <c r="CG232" s="22"/>
      <c r="CH232" s="23"/>
      <c r="CI232" s="23"/>
      <c r="CJ232" s="22"/>
      <c r="CK232" s="22"/>
      <c r="CM232" s="22"/>
      <c r="CN232" s="23"/>
      <c r="CO232" s="22"/>
    </row>
    <row r="233">
      <c r="G233" s="22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3"/>
      <c r="U233" s="23"/>
      <c r="V233" s="23"/>
      <c r="W233" s="23"/>
      <c r="X233" s="23"/>
      <c r="Y233" s="26"/>
      <c r="Z233" s="26"/>
      <c r="AA233" s="26"/>
      <c r="AB233" s="26"/>
      <c r="AC233" s="26"/>
      <c r="AD233" s="26"/>
      <c r="AE233" s="26"/>
      <c r="AF233" s="26"/>
      <c r="AG233" s="23"/>
      <c r="AH233" s="23"/>
      <c r="AI233" s="23"/>
      <c r="AJ233" s="23"/>
      <c r="AK233" s="23"/>
      <c r="AL233" s="23"/>
      <c r="AM233" s="26"/>
      <c r="AN233" s="26"/>
      <c r="AO233" s="26"/>
      <c r="AP233" s="26"/>
      <c r="AQ233" s="23"/>
      <c r="AR233" s="23"/>
      <c r="AS233" s="23"/>
      <c r="AT233" s="23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2"/>
      <c r="CA233" s="23"/>
      <c r="CB233" s="23"/>
      <c r="CC233" s="22"/>
      <c r="CD233" s="22"/>
      <c r="CE233" s="23"/>
      <c r="CF233" s="23"/>
      <c r="CG233" s="22"/>
      <c r="CH233" s="23"/>
      <c r="CI233" s="23"/>
      <c r="CJ233" s="22"/>
      <c r="CK233" s="22"/>
      <c r="CM233" s="22"/>
      <c r="CN233" s="23"/>
      <c r="CO233" s="22"/>
    </row>
    <row r="234">
      <c r="G234" s="22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3"/>
      <c r="U234" s="23"/>
      <c r="V234" s="23"/>
      <c r="W234" s="23"/>
      <c r="X234" s="23"/>
      <c r="Y234" s="26"/>
      <c r="Z234" s="26"/>
      <c r="AA234" s="26"/>
      <c r="AB234" s="26"/>
      <c r="AC234" s="26"/>
      <c r="AD234" s="26"/>
      <c r="AE234" s="26"/>
      <c r="AF234" s="26"/>
      <c r="AG234" s="23"/>
      <c r="AH234" s="23"/>
      <c r="AI234" s="23"/>
      <c r="AJ234" s="23"/>
      <c r="AK234" s="23"/>
      <c r="AL234" s="23"/>
      <c r="AM234" s="26"/>
      <c r="AN234" s="26"/>
      <c r="AO234" s="26"/>
      <c r="AP234" s="26"/>
      <c r="AQ234" s="23"/>
      <c r="AR234" s="23"/>
      <c r="AS234" s="23"/>
      <c r="AT234" s="23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2"/>
      <c r="CA234" s="23"/>
      <c r="CB234" s="23"/>
      <c r="CC234" s="22"/>
      <c r="CD234" s="22"/>
      <c r="CE234" s="23"/>
      <c r="CF234" s="23"/>
      <c r="CG234" s="22"/>
      <c r="CH234" s="23"/>
      <c r="CI234" s="23"/>
      <c r="CJ234" s="22"/>
      <c r="CK234" s="22"/>
      <c r="CM234" s="22"/>
      <c r="CN234" s="23"/>
      <c r="CO234" s="22"/>
    </row>
    <row r="235">
      <c r="G235" s="22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3"/>
      <c r="U235" s="23"/>
      <c r="V235" s="23"/>
      <c r="W235" s="23"/>
      <c r="X235" s="23"/>
      <c r="Y235" s="26"/>
      <c r="Z235" s="26"/>
      <c r="AA235" s="26"/>
      <c r="AB235" s="26"/>
      <c r="AC235" s="26"/>
      <c r="AD235" s="26"/>
      <c r="AE235" s="26"/>
      <c r="AF235" s="26"/>
      <c r="AG235" s="23"/>
      <c r="AH235" s="23"/>
      <c r="AI235" s="23"/>
      <c r="AJ235" s="23"/>
      <c r="AK235" s="23"/>
      <c r="AL235" s="23"/>
      <c r="AM235" s="26"/>
      <c r="AN235" s="26"/>
      <c r="AO235" s="26"/>
      <c r="AP235" s="26"/>
      <c r="AQ235" s="23"/>
      <c r="AR235" s="23"/>
      <c r="AS235" s="23"/>
      <c r="AT235" s="23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2"/>
      <c r="CA235" s="23"/>
      <c r="CB235" s="23"/>
      <c r="CC235" s="22"/>
      <c r="CD235" s="22"/>
      <c r="CE235" s="23"/>
      <c r="CF235" s="23"/>
      <c r="CG235" s="22"/>
      <c r="CH235" s="23"/>
      <c r="CI235" s="23"/>
      <c r="CJ235" s="22"/>
      <c r="CK235" s="22"/>
      <c r="CM235" s="22"/>
      <c r="CN235" s="23"/>
      <c r="CO235" s="22"/>
    </row>
    <row r="236">
      <c r="G236" s="22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3"/>
      <c r="U236" s="23"/>
      <c r="V236" s="23"/>
      <c r="W236" s="23"/>
      <c r="X236" s="23"/>
      <c r="Y236" s="26"/>
      <c r="Z236" s="26"/>
      <c r="AA236" s="26"/>
      <c r="AB236" s="26"/>
      <c r="AC236" s="26"/>
      <c r="AD236" s="26"/>
      <c r="AE236" s="26"/>
      <c r="AF236" s="26"/>
      <c r="AG236" s="23"/>
      <c r="AH236" s="23"/>
      <c r="AI236" s="23"/>
      <c r="AJ236" s="23"/>
      <c r="AK236" s="23"/>
      <c r="AL236" s="23"/>
      <c r="AM236" s="26"/>
      <c r="AN236" s="26"/>
      <c r="AO236" s="26"/>
      <c r="AP236" s="26"/>
      <c r="AQ236" s="23"/>
      <c r="AR236" s="23"/>
      <c r="AS236" s="23"/>
      <c r="AT236" s="23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2"/>
      <c r="CA236" s="23"/>
      <c r="CB236" s="23"/>
      <c r="CC236" s="22"/>
      <c r="CD236" s="22"/>
      <c r="CE236" s="23"/>
      <c r="CF236" s="23"/>
      <c r="CG236" s="22"/>
      <c r="CH236" s="23"/>
      <c r="CI236" s="23"/>
      <c r="CJ236" s="22"/>
      <c r="CK236" s="22"/>
      <c r="CM236" s="22"/>
      <c r="CN236" s="23"/>
      <c r="CO236" s="22"/>
    </row>
    <row r="237">
      <c r="G237" s="22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3"/>
      <c r="U237" s="23"/>
      <c r="V237" s="23"/>
      <c r="W237" s="23"/>
      <c r="X237" s="23"/>
      <c r="Y237" s="26"/>
      <c r="Z237" s="26"/>
      <c r="AA237" s="26"/>
      <c r="AB237" s="26"/>
      <c r="AC237" s="26"/>
      <c r="AD237" s="26"/>
      <c r="AE237" s="26"/>
      <c r="AF237" s="26"/>
      <c r="AG237" s="23"/>
      <c r="AH237" s="23"/>
      <c r="AI237" s="23"/>
      <c r="AJ237" s="23"/>
      <c r="AK237" s="23"/>
      <c r="AL237" s="23"/>
      <c r="AM237" s="26"/>
      <c r="AN237" s="26"/>
      <c r="AO237" s="26"/>
      <c r="AP237" s="26"/>
      <c r="AQ237" s="23"/>
      <c r="AR237" s="23"/>
      <c r="AS237" s="23"/>
      <c r="AT237" s="23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2"/>
      <c r="CA237" s="23"/>
      <c r="CB237" s="23"/>
      <c r="CC237" s="22"/>
      <c r="CD237" s="22"/>
      <c r="CE237" s="23"/>
      <c r="CF237" s="23"/>
      <c r="CG237" s="22"/>
      <c r="CH237" s="23"/>
      <c r="CI237" s="23"/>
      <c r="CJ237" s="22"/>
      <c r="CK237" s="22"/>
      <c r="CM237" s="22"/>
      <c r="CN237" s="23"/>
      <c r="CO237" s="22"/>
    </row>
    <row r="238">
      <c r="G238" s="22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3"/>
      <c r="U238" s="23"/>
      <c r="V238" s="23"/>
      <c r="W238" s="23"/>
      <c r="X238" s="23"/>
      <c r="Y238" s="26"/>
      <c r="Z238" s="26"/>
      <c r="AA238" s="26"/>
      <c r="AB238" s="26"/>
      <c r="AC238" s="26"/>
      <c r="AD238" s="26"/>
      <c r="AE238" s="26"/>
      <c r="AF238" s="26"/>
      <c r="AG238" s="23"/>
      <c r="AH238" s="23"/>
      <c r="AI238" s="23"/>
      <c r="AJ238" s="23"/>
      <c r="AK238" s="23"/>
      <c r="AL238" s="23"/>
      <c r="AM238" s="26"/>
      <c r="AN238" s="26"/>
      <c r="AO238" s="26"/>
      <c r="AP238" s="26"/>
      <c r="AQ238" s="23"/>
      <c r="AR238" s="23"/>
      <c r="AS238" s="23"/>
      <c r="AT238" s="23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2"/>
      <c r="CA238" s="23"/>
      <c r="CB238" s="23"/>
      <c r="CC238" s="22"/>
      <c r="CD238" s="22"/>
      <c r="CE238" s="23"/>
      <c r="CF238" s="23"/>
      <c r="CG238" s="22"/>
      <c r="CH238" s="23"/>
      <c r="CI238" s="23"/>
      <c r="CJ238" s="22"/>
      <c r="CK238" s="22"/>
      <c r="CM238" s="22"/>
      <c r="CN238" s="23"/>
      <c r="CO238" s="22"/>
    </row>
    <row r="239">
      <c r="G239" s="22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3"/>
      <c r="U239" s="23"/>
      <c r="V239" s="23"/>
      <c r="W239" s="23"/>
      <c r="X239" s="23"/>
      <c r="Y239" s="26"/>
      <c r="Z239" s="26"/>
      <c r="AA239" s="26"/>
      <c r="AB239" s="26"/>
      <c r="AC239" s="26"/>
      <c r="AD239" s="26"/>
      <c r="AE239" s="26"/>
      <c r="AF239" s="26"/>
      <c r="AG239" s="23"/>
      <c r="AH239" s="23"/>
      <c r="AI239" s="23"/>
      <c r="AJ239" s="23"/>
      <c r="AK239" s="23"/>
      <c r="AL239" s="23"/>
      <c r="AM239" s="26"/>
      <c r="AN239" s="26"/>
      <c r="AO239" s="26"/>
      <c r="AP239" s="26"/>
      <c r="AQ239" s="23"/>
      <c r="AR239" s="23"/>
      <c r="AS239" s="23"/>
      <c r="AT239" s="23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2"/>
      <c r="CA239" s="23"/>
      <c r="CB239" s="23"/>
      <c r="CC239" s="22"/>
      <c r="CD239" s="22"/>
      <c r="CE239" s="23"/>
      <c r="CF239" s="23"/>
      <c r="CG239" s="22"/>
      <c r="CH239" s="23"/>
      <c r="CI239" s="23"/>
      <c r="CJ239" s="22"/>
      <c r="CK239" s="22"/>
      <c r="CM239" s="22"/>
      <c r="CN239" s="23"/>
      <c r="CO239" s="22"/>
    </row>
    <row r="240">
      <c r="G240" s="22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3"/>
      <c r="U240" s="23"/>
      <c r="V240" s="23"/>
      <c r="W240" s="23"/>
      <c r="X240" s="23"/>
      <c r="Y240" s="26"/>
      <c r="Z240" s="26"/>
      <c r="AA240" s="26"/>
      <c r="AB240" s="26"/>
      <c r="AC240" s="26"/>
      <c r="AD240" s="26"/>
      <c r="AE240" s="26"/>
      <c r="AF240" s="26"/>
      <c r="AG240" s="23"/>
      <c r="AH240" s="23"/>
      <c r="AI240" s="23"/>
      <c r="AJ240" s="23"/>
      <c r="AK240" s="23"/>
      <c r="AL240" s="23"/>
      <c r="AM240" s="26"/>
      <c r="AN240" s="26"/>
      <c r="AO240" s="26"/>
      <c r="AP240" s="26"/>
      <c r="AQ240" s="23"/>
      <c r="AR240" s="23"/>
      <c r="AS240" s="23"/>
      <c r="AT240" s="23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2"/>
      <c r="CA240" s="23"/>
      <c r="CB240" s="23"/>
      <c r="CC240" s="22"/>
      <c r="CD240" s="22"/>
      <c r="CE240" s="23"/>
      <c r="CF240" s="23"/>
      <c r="CG240" s="22"/>
      <c r="CH240" s="23"/>
      <c r="CI240" s="23"/>
      <c r="CJ240" s="22"/>
      <c r="CK240" s="22"/>
      <c r="CM240" s="22"/>
      <c r="CN240" s="23"/>
      <c r="CO240" s="22"/>
    </row>
    <row r="241">
      <c r="G241" s="22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3"/>
      <c r="U241" s="23"/>
      <c r="V241" s="23"/>
      <c r="W241" s="23"/>
      <c r="X241" s="23"/>
      <c r="Y241" s="26"/>
      <c r="Z241" s="26"/>
      <c r="AA241" s="26"/>
      <c r="AB241" s="26"/>
      <c r="AC241" s="26"/>
      <c r="AD241" s="26"/>
      <c r="AE241" s="26"/>
      <c r="AF241" s="26"/>
      <c r="AG241" s="23"/>
      <c r="AH241" s="23"/>
      <c r="AI241" s="23"/>
      <c r="AJ241" s="23"/>
      <c r="AK241" s="23"/>
      <c r="AL241" s="23"/>
      <c r="AM241" s="26"/>
      <c r="AN241" s="26"/>
      <c r="AO241" s="26"/>
      <c r="AP241" s="26"/>
      <c r="AQ241" s="23"/>
      <c r="AR241" s="23"/>
      <c r="AS241" s="23"/>
      <c r="AT241" s="23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2"/>
      <c r="CA241" s="23"/>
      <c r="CB241" s="23"/>
      <c r="CC241" s="22"/>
      <c r="CD241" s="22"/>
      <c r="CE241" s="23"/>
      <c r="CF241" s="23"/>
      <c r="CG241" s="22"/>
      <c r="CH241" s="23"/>
      <c r="CI241" s="23"/>
      <c r="CJ241" s="22"/>
      <c r="CK241" s="22"/>
      <c r="CM241" s="22"/>
      <c r="CN241" s="23"/>
      <c r="CO241" s="22"/>
    </row>
    <row r="242">
      <c r="G242" s="22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3"/>
      <c r="U242" s="23"/>
      <c r="V242" s="23"/>
      <c r="W242" s="23"/>
      <c r="X242" s="23"/>
      <c r="Y242" s="26"/>
      <c r="Z242" s="26"/>
      <c r="AA242" s="26"/>
      <c r="AB242" s="26"/>
      <c r="AC242" s="26"/>
      <c r="AD242" s="26"/>
      <c r="AE242" s="26"/>
      <c r="AF242" s="26"/>
      <c r="AG242" s="23"/>
      <c r="AH242" s="23"/>
      <c r="AI242" s="23"/>
      <c r="AJ242" s="23"/>
      <c r="AK242" s="23"/>
      <c r="AL242" s="23"/>
      <c r="AM242" s="26"/>
      <c r="AN242" s="26"/>
      <c r="AO242" s="26"/>
      <c r="AP242" s="26"/>
      <c r="AQ242" s="23"/>
      <c r="AR242" s="23"/>
      <c r="AS242" s="23"/>
      <c r="AT242" s="23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2"/>
      <c r="CA242" s="23"/>
      <c r="CB242" s="23"/>
      <c r="CC242" s="22"/>
      <c r="CD242" s="22"/>
      <c r="CE242" s="23"/>
      <c r="CF242" s="23"/>
      <c r="CG242" s="22"/>
      <c r="CH242" s="23"/>
      <c r="CI242" s="23"/>
      <c r="CJ242" s="22"/>
      <c r="CK242" s="22"/>
      <c r="CM242" s="22"/>
      <c r="CN242" s="23"/>
      <c r="CO242" s="22"/>
    </row>
  </sheetData>
  <autoFilter ref="$A$1:$F$120">
    <sortState ref="A1:F120">
      <sortCondition ref="A1:A120"/>
      <sortCondition ref="B1:B120"/>
      <sortCondition ref="C1:C120"/>
    </sortState>
  </autoFilter>
  <mergeCells count="253">
    <mergeCell ref="CK9:CL9"/>
    <mergeCell ref="CK10:CL10"/>
    <mergeCell ref="CK11:CL11"/>
    <mergeCell ref="CK12:CL12"/>
    <mergeCell ref="CK13:CL13"/>
    <mergeCell ref="CK14:CL14"/>
    <mergeCell ref="CK15:CL15"/>
    <mergeCell ref="CK16:CL16"/>
    <mergeCell ref="CK17:CL17"/>
    <mergeCell ref="CK18:CL18"/>
    <mergeCell ref="CK19:CL19"/>
    <mergeCell ref="CK20:CL20"/>
    <mergeCell ref="CK21:CL21"/>
    <mergeCell ref="CK22:CL22"/>
    <mergeCell ref="CK23:CL23"/>
    <mergeCell ref="CK24:CL24"/>
    <mergeCell ref="CK25:CL25"/>
    <mergeCell ref="CK26:CL26"/>
    <mergeCell ref="CK27:CL27"/>
    <mergeCell ref="CK28:CL28"/>
    <mergeCell ref="CK29:CL29"/>
    <mergeCell ref="CK30:CL30"/>
    <mergeCell ref="CK31:CL31"/>
    <mergeCell ref="CK32:CL32"/>
    <mergeCell ref="CK33:CL33"/>
    <mergeCell ref="CK34:CL34"/>
    <mergeCell ref="CK35:CL35"/>
    <mergeCell ref="CK36:CL36"/>
    <mergeCell ref="CK2:CL2"/>
    <mergeCell ref="CK3:CL3"/>
    <mergeCell ref="CK4:CL4"/>
    <mergeCell ref="CK5:CL5"/>
    <mergeCell ref="CK6:CL6"/>
    <mergeCell ref="CK7:CL7"/>
    <mergeCell ref="CK8:CL8"/>
    <mergeCell ref="H16:I16"/>
    <mergeCell ref="H17:I17"/>
    <mergeCell ref="H18:I18"/>
    <mergeCell ref="H19:I19"/>
    <mergeCell ref="H2:I2"/>
    <mergeCell ref="H3:I3"/>
    <mergeCell ref="H4:I4"/>
    <mergeCell ref="H5:I5"/>
    <mergeCell ref="H6:I6"/>
    <mergeCell ref="H7:I7"/>
    <mergeCell ref="H15:I15"/>
    <mergeCell ref="H14:I14"/>
    <mergeCell ref="CK37:CL37"/>
    <mergeCell ref="CK38:CL38"/>
    <mergeCell ref="CK39:CL39"/>
    <mergeCell ref="CK40:CL40"/>
    <mergeCell ref="CK41:CL41"/>
    <mergeCell ref="CK42:CL42"/>
    <mergeCell ref="CK43:CL43"/>
    <mergeCell ref="CK44:CL44"/>
    <mergeCell ref="CK45:CL45"/>
    <mergeCell ref="CK46:CL46"/>
    <mergeCell ref="CK47:CL47"/>
    <mergeCell ref="CK48:CL48"/>
    <mergeCell ref="CK49:CL49"/>
    <mergeCell ref="CK50:CL50"/>
    <mergeCell ref="CK51:CL51"/>
    <mergeCell ref="CK52:CL52"/>
    <mergeCell ref="CK53:CL53"/>
    <mergeCell ref="CK54:CL54"/>
    <mergeCell ref="CK55:CL55"/>
    <mergeCell ref="CK56:CL56"/>
    <mergeCell ref="CK57:CL57"/>
    <mergeCell ref="CK58:CL58"/>
    <mergeCell ref="CK59:CL59"/>
    <mergeCell ref="CK60:CL60"/>
    <mergeCell ref="CK61:CL61"/>
    <mergeCell ref="CK62:CL62"/>
    <mergeCell ref="CK63:CL63"/>
    <mergeCell ref="CK64:CL64"/>
    <mergeCell ref="CK65:CL65"/>
    <mergeCell ref="CK66:CL66"/>
    <mergeCell ref="CK67:CL67"/>
    <mergeCell ref="CK68:CL68"/>
    <mergeCell ref="CK69:CL69"/>
    <mergeCell ref="CK70:CL70"/>
    <mergeCell ref="CK71:CL71"/>
    <mergeCell ref="CK72:CL72"/>
    <mergeCell ref="CK73:CL73"/>
    <mergeCell ref="CK74:CL74"/>
    <mergeCell ref="CK75:CL75"/>
    <mergeCell ref="CK76:CL76"/>
    <mergeCell ref="CK77:CL77"/>
    <mergeCell ref="CK78:CL78"/>
    <mergeCell ref="CK79:CL79"/>
    <mergeCell ref="CK80:CL80"/>
    <mergeCell ref="CK81:CL81"/>
    <mergeCell ref="CK82:CL82"/>
    <mergeCell ref="CK83:CL83"/>
    <mergeCell ref="CK84:CL84"/>
    <mergeCell ref="CK85:CL85"/>
    <mergeCell ref="CK86:CL86"/>
    <mergeCell ref="CK87:CL87"/>
    <mergeCell ref="CK88:CL88"/>
    <mergeCell ref="CK89:CL89"/>
    <mergeCell ref="CK90:CL90"/>
    <mergeCell ref="CK91:CL91"/>
    <mergeCell ref="CK92:CL92"/>
    <mergeCell ref="CK93:CL93"/>
    <mergeCell ref="CK94:CL94"/>
    <mergeCell ref="CK95:CL95"/>
    <mergeCell ref="CK96:CL96"/>
    <mergeCell ref="CK97:CL97"/>
    <mergeCell ref="CK98:CL98"/>
    <mergeCell ref="CK99:CL99"/>
    <mergeCell ref="CK100:CL100"/>
    <mergeCell ref="CK101:CL101"/>
    <mergeCell ref="CK102:CL102"/>
    <mergeCell ref="CK103:CL103"/>
    <mergeCell ref="CK104:CL104"/>
    <mergeCell ref="CK105:CL105"/>
    <mergeCell ref="CK106:CL106"/>
    <mergeCell ref="CK107:CL107"/>
    <mergeCell ref="CK108:CL108"/>
    <mergeCell ref="CK109:CL109"/>
    <mergeCell ref="CK110:CL110"/>
    <mergeCell ref="CK111:CL111"/>
    <mergeCell ref="CK112:CL112"/>
    <mergeCell ref="CK113:CL113"/>
    <mergeCell ref="CK114:CL114"/>
    <mergeCell ref="CK115:CL115"/>
    <mergeCell ref="CK116:CL116"/>
    <mergeCell ref="CK117:CL117"/>
    <mergeCell ref="CK118:CL118"/>
    <mergeCell ref="CK119:CL119"/>
    <mergeCell ref="CK120:CL120"/>
    <mergeCell ref="CK121:CL121"/>
    <mergeCell ref="CK220:CL220"/>
    <mergeCell ref="CK221:CL221"/>
    <mergeCell ref="CK222:CL222"/>
    <mergeCell ref="CK223:CL223"/>
    <mergeCell ref="CK224:CL224"/>
    <mergeCell ref="CK225:CL225"/>
    <mergeCell ref="CK226:CL226"/>
    <mergeCell ref="CK241:CL241"/>
    <mergeCell ref="CK242:CL242"/>
    <mergeCell ref="CK234:CL234"/>
    <mergeCell ref="CK235:CL235"/>
    <mergeCell ref="CK236:CL236"/>
    <mergeCell ref="CK237:CL237"/>
    <mergeCell ref="CK238:CL238"/>
    <mergeCell ref="CK239:CL239"/>
    <mergeCell ref="CK240:CL240"/>
    <mergeCell ref="CK227:CL227"/>
    <mergeCell ref="CK228:CL228"/>
    <mergeCell ref="CK229:CL229"/>
    <mergeCell ref="CK230:CL230"/>
    <mergeCell ref="CK231:CL231"/>
    <mergeCell ref="CK232:CL232"/>
    <mergeCell ref="CK233:CL233"/>
    <mergeCell ref="CK171:CL171"/>
    <mergeCell ref="CK172:CL172"/>
    <mergeCell ref="CK173:CL173"/>
    <mergeCell ref="CK174:CL174"/>
    <mergeCell ref="CK175:CL175"/>
    <mergeCell ref="CK176:CL176"/>
    <mergeCell ref="CK177:CL177"/>
    <mergeCell ref="CK178:CL178"/>
    <mergeCell ref="CK179:CL179"/>
    <mergeCell ref="CK180:CL180"/>
    <mergeCell ref="CK181:CL181"/>
    <mergeCell ref="CK182:CL182"/>
    <mergeCell ref="CK183:CL183"/>
    <mergeCell ref="CK184:CL184"/>
    <mergeCell ref="CK185:CL185"/>
    <mergeCell ref="CK186:CL186"/>
    <mergeCell ref="CK187:CL187"/>
    <mergeCell ref="CK188:CL188"/>
    <mergeCell ref="CK189:CL189"/>
    <mergeCell ref="CK190:CL190"/>
    <mergeCell ref="CK191:CL191"/>
    <mergeCell ref="CK192:CL192"/>
    <mergeCell ref="CK193:CL193"/>
    <mergeCell ref="CK194:CL194"/>
    <mergeCell ref="CK195:CL195"/>
    <mergeCell ref="CK196:CL196"/>
    <mergeCell ref="CK197:CL197"/>
    <mergeCell ref="CK198:CL198"/>
    <mergeCell ref="CK199:CL199"/>
    <mergeCell ref="CK200:CL200"/>
    <mergeCell ref="CK201:CL201"/>
    <mergeCell ref="CK202:CL202"/>
    <mergeCell ref="CK203:CL203"/>
    <mergeCell ref="CK204:CL204"/>
    <mergeCell ref="CK205:CL205"/>
    <mergeCell ref="CK213:CL213"/>
    <mergeCell ref="CK214:CL214"/>
    <mergeCell ref="CK215:CL215"/>
    <mergeCell ref="CK216:CL216"/>
    <mergeCell ref="CK217:CL217"/>
    <mergeCell ref="CK218:CL218"/>
    <mergeCell ref="CK219:CL219"/>
    <mergeCell ref="CK206:CL206"/>
    <mergeCell ref="CK207:CL207"/>
    <mergeCell ref="CK208:CL208"/>
    <mergeCell ref="CK209:CL209"/>
    <mergeCell ref="CK210:CL210"/>
    <mergeCell ref="CK211:CL211"/>
    <mergeCell ref="CK212:CL212"/>
    <mergeCell ref="CK122:CL122"/>
    <mergeCell ref="CK123:CL123"/>
    <mergeCell ref="CK124:CL124"/>
    <mergeCell ref="CK125:CL125"/>
    <mergeCell ref="CK126:CL126"/>
    <mergeCell ref="CK127:CL127"/>
    <mergeCell ref="CK128:CL128"/>
    <mergeCell ref="CK129:CL129"/>
    <mergeCell ref="CK130:CL130"/>
    <mergeCell ref="CK131:CL131"/>
    <mergeCell ref="CK132:CL132"/>
    <mergeCell ref="CK133:CL133"/>
    <mergeCell ref="CK134:CL134"/>
    <mergeCell ref="CK135:CL135"/>
    <mergeCell ref="CK136:CL136"/>
    <mergeCell ref="CK137:CL137"/>
    <mergeCell ref="CK138:CL138"/>
    <mergeCell ref="CK139:CL139"/>
    <mergeCell ref="CK140:CL140"/>
    <mergeCell ref="CK141:CL141"/>
    <mergeCell ref="CK142:CL142"/>
    <mergeCell ref="CK143:CL143"/>
    <mergeCell ref="CK144:CL144"/>
    <mergeCell ref="CK145:CL145"/>
    <mergeCell ref="CK146:CL146"/>
    <mergeCell ref="CK147:CL147"/>
    <mergeCell ref="CK148:CL148"/>
    <mergeCell ref="CK149:CL149"/>
    <mergeCell ref="CK150:CL150"/>
    <mergeCell ref="CK151:CL151"/>
    <mergeCell ref="CK152:CL152"/>
    <mergeCell ref="CK153:CL153"/>
    <mergeCell ref="CK154:CL154"/>
    <mergeCell ref="CK155:CL155"/>
    <mergeCell ref="CK156:CL156"/>
    <mergeCell ref="CK157:CL157"/>
    <mergeCell ref="CK158:CL158"/>
    <mergeCell ref="CK159:CL159"/>
    <mergeCell ref="CK160:CL160"/>
    <mergeCell ref="CK161:CL161"/>
    <mergeCell ref="CK162:CL162"/>
    <mergeCell ref="CK163:CL163"/>
    <mergeCell ref="CK164:CL164"/>
    <mergeCell ref="CK165:CL165"/>
    <mergeCell ref="CK166:CL166"/>
    <mergeCell ref="CK167:CL167"/>
    <mergeCell ref="CK168:CL168"/>
    <mergeCell ref="CK169:CL169"/>
    <mergeCell ref="CK170:CL17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34</v>
      </c>
      <c r="D2" s="22" t="s">
        <v>34</v>
      </c>
      <c r="E2" s="23">
        <v>1.0</v>
      </c>
      <c r="F2" s="23">
        <v>0.625686</v>
      </c>
    </row>
    <row r="3">
      <c r="A3" s="22" t="s">
        <v>18</v>
      </c>
      <c r="B3" s="22" t="s">
        <v>18</v>
      </c>
      <c r="C3" s="22" t="s">
        <v>34</v>
      </c>
      <c r="D3" s="22" t="s">
        <v>34</v>
      </c>
      <c r="E3" s="23">
        <v>1.0</v>
      </c>
      <c r="F3" s="23">
        <v>1.599163</v>
      </c>
      <c r="J3" s="24" t="s">
        <v>35</v>
      </c>
      <c r="K3" s="24" t="s">
        <v>21</v>
      </c>
      <c r="L3" s="24" t="s">
        <v>36</v>
      </c>
    </row>
    <row r="4">
      <c r="A4" s="22" t="s">
        <v>18</v>
      </c>
      <c r="B4" s="22" t="s">
        <v>18</v>
      </c>
      <c r="C4" s="22" t="s">
        <v>34</v>
      </c>
      <c r="D4" s="22" t="s">
        <v>34</v>
      </c>
      <c r="E4" s="23">
        <v>1.0</v>
      </c>
      <c r="F4" s="23">
        <v>0.576291</v>
      </c>
      <c r="H4" s="22" t="s">
        <v>22</v>
      </c>
      <c r="J4" s="25">
        <f>average(J5:J6)</f>
        <v>0.9355084107</v>
      </c>
      <c r="K4" s="24">
        <v>4.0</v>
      </c>
      <c r="L4" s="25">
        <f>60-K4</f>
        <v>56</v>
      </c>
    </row>
    <row r="5">
      <c r="A5" s="22" t="s">
        <v>18</v>
      </c>
      <c r="B5" s="22" t="s">
        <v>18</v>
      </c>
      <c r="C5" s="22" t="s">
        <v>34</v>
      </c>
      <c r="D5" s="22" t="s">
        <v>34</v>
      </c>
      <c r="E5" s="23">
        <v>1.0</v>
      </c>
      <c r="F5" s="23">
        <v>1.009131</v>
      </c>
      <c r="H5" s="22" t="s">
        <v>23</v>
      </c>
      <c r="J5" s="25">
        <f>average(F56:F83)</f>
        <v>0.9678643214</v>
      </c>
      <c r="K5" s="24">
        <v>2.0</v>
      </c>
      <c r="L5" s="25">
        <f t="shared" ref="L5:L6" si="1">30-K5</f>
        <v>28</v>
      </c>
    </row>
    <row r="6">
      <c r="A6" s="22" t="s">
        <v>18</v>
      </c>
      <c r="B6" s="22" t="s">
        <v>18</v>
      </c>
      <c r="C6" s="22" t="s">
        <v>34</v>
      </c>
      <c r="D6" s="22" t="s">
        <v>34</v>
      </c>
      <c r="E6" s="23">
        <v>1.0</v>
      </c>
      <c r="F6" s="23">
        <v>0.566169</v>
      </c>
      <c r="H6" s="22" t="s">
        <v>24</v>
      </c>
      <c r="J6" s="25">
        <f>average(F28:F55)</f>
        <v>0.9031525</v>
      </c>
      <c r="K6" s="24">
        <v>2.0</v>
      </c>
      <c r="L6" s="25">
        <f t="shared" si="1"/>
        <v>28</v>
      </c>
    </row>
    <row r="7">
      <c r="A7" s="22" t="s">
        <v>18</v>
      </c>
      <c r="B7" s="22" t="s">
        <v>18</v>
      </c>
      <c r="C7" s="22" t="s">
        <v>34</v>
      </c>
      <c r="D7" s="22" t="s">
        <v>34</v>
      </c>
      <c r="E7" s="23">
        <v>1.0</v>
      </c>
      <c r="F7" s="23">
        <v>0.545064</v>
      </c>
      <c r="H7" s="22" t="s">
        <v>25</v>
      </c>
      <c r="J7" s="25">
        <f>average(J8:J9)</f>
        <v>0.8396345526</v>
      </c>
      <c r="K7" s="24">
        <v>4.0</v>
      </c>
      <c r="L7" s="25">
        <f>60-K7</f>
        <v>56</v>
      </c>
    </row>
    <row r="8">
      <c r="A8" s="22" t="s">
        <v>18</v>
      </c>
      <c r="B8" s="22" t="s">
        <v>18</v>
      </c>
      <c r="C8" s="22" t="s">
        <v>34</v>
      </c>
      <c r="D8" s="22" t="s">
        <v>34</v>
      </c>
      <c r="E8" s="23">
        <v>1.0</v>
      </c>
      <c r="F8" s="23">
        <v>0.438073</v>
      </c>
      <c r="H8" s="22" t="s">
        <v>26</v>
      </c>
      <c r="J8" s="25">
        <f>average(F84:F113)</f>
        <v>0.8932450667</v>
      </c>
      <c r="K8" s="24">
        <v>0.0</v>
      </c>
      <c r="L8" s="25">
        <f t="shared" ref="L8:L9" si="2">30-K8</f>
        <v>30</v>
      </c>
    </row>
    <row r="9">
      <c r="A9" s="22" t="s">
        <v>18</v>
      </c>
      <c r="B9" s="22" t="s">
        <v>18</v>
      </c>
      <c r="C9" s="22" t="s">
        <v>34</v>
      </c>
      <c r="D9" s="22" t="s">
        <v>34</v>
      </c>
      <c r="E9" s="23">
        <v>1.0</v>
      </c>
      <c r="F9" s="23">
        <v>0.486082</v>
      </c>
      <c r="H9" s="22" t="s">
        <v>27</v>
      </c>
      <c r="J9" s="25">
        <f>average(F2:F27)</f>
        <v>0.7860240385</v>
      </c>
      <c r="K9" s="24">
        <v>4.0</v>
      </c>
      <c r="L9" s="25">
        <f t="shared" si="2"/>
        <v>26</v>
      </c>
    </row>
    <row r="10">
      <c r="A10" s="22" t="s">
        <v>18</v>
      </c>
      <c r="B10" s="22" t="s">
        <v>18</v>
      </c>
      <c r="C10" s="22" t="s">
        <v>34</v>
      </c>
      <c r="D10" s="22" t="s">
        <v>34</v>
      </c>
      <c r="E10" s="23">
        <v>1.0</v>
      </c>
      <c r="F10" s="23">
        <v>0.571664</v>
      </c>
    </row>
    <row r="11">
      <c r="A11" s="22" t="s">
        <v>18</v>
      </c>
      <c r="B11" s="22" t="s">
        <v>18</v>
      </c>
      <c r="C11" s="22" t="s">
        <v>34</v>
      </c>
      <c r="D11" s="22" t="s">
        <v>34</v>
      </c>
      <c r="E11" s="23">
        <v>1.0</v>
      </c>
      <c r="F11" s="23">
        <v>0.522746</v>
      </c>
      <c r="H11" s="24" t="s">
        <v>12</v>
      </c>
      <c r="I11" s="24" t="s">
        <v>37</v>
      </c>
      <c r="J11" s="24" t="s">
        <v>38</v>
      </c>
    </row>
    <row r="12">
      <c r="A12" s="22" t="s">
        <v>18</v>
      </c>
      <c r="B12" s="22" t="s">
        <v>18</v>
      </c>
      <c r="C12" s="22" t="s">
        <v>34</v>
      </c>
      <c r="D12" s="22" t="s">
        <v>34</v>
      </c>
      <c r="E12" s="23">
        <v>1.0</v>
      </c>
      <c r="F12" s="23">
        <v>1.096863</v>
      </c>
      <c r="H12" s="24" t="s">
        <v>13</v>
      </c>
      <c r="I12" s="24" t="s">
        <v>39</v>
      </c>
      <c r="J12" s="24" t="s">
        <v>40</v>
      </c>
    </row>
    <row r="13">
      <c r="A13" s="22" t="s">
        <v>18</v>
      </c>
      <c r="B13" s="22" t="s">
        <v>18</v>
      </c>
      <c r="C13" s="22" t="s">
        <v>34</v>
      </c>
      <c r="D13" s="22" t="s">
        <v>34</v>
      </c>
      <c r="E13" s="23">
        <v>1.0</v>
      </c>
      <c r="F13" s="23">
        <v>1.695743</v>
      </c>
    </row>
    <row r="14">
      <c r="A14" s="22" t="s">
        <v>18</v>
      </c>
      <c r="B14" s="22" t="s">
        <v>18</v>
      </c>
      <c r="C14" s="22" t="s">
        <v>34</v>
      </c>
      <c r="D14" s="22" t="s">
        <v>34</v>
      </c>
      <c r="E14" s="23">
        <v>1.0</v>
      </c>
      <c r="F14" s="23">
        <v>0.450334</v>
      </c>
      <c r="I14" s="24" t="s">
        <v>28</v>
      </c>
      <c r="J14" s="24" t="s">
        <v>29</v>
      </c>
    </row>
    <row r="15">
      <c r="A15" s="22" t="s">
        <v>18</v>
      </c>
      <c r="B15" s="22" t="s">
        <v>18</v>
      </c>
      <c r="C15" s="22" t="s">
        <v>34</v>
      </c>
      <c r="D15" s="22" t="s">
        <v>34</v>
      </c>
      <c r="E15" s="23">
        <v>1.0</v>
      </c>
      <c r="F15" s="23">
        <v>0.40893</v>
      </c>
      <c r="H15" s="24" t="s">
        <v>30</v>
      </c>
      <c r="I15" s="25">
        <f>J5</f>
        <v>0.9678643214</v>
      </c>
      <c r="J15" s="25">
        <f>J8</f>
        <v>0.8932450667</v>
      </c>
    </row>
    <row r="16">
      <c r="A16" s="22" t="s">
        <v>18</v>
      </c>
      <c r="B16" s="22" t="s">
        <v>18</v>
      </c>
      <c r="C16" s="22" t="s">
        <v>34</v>
      </c>
      <c r="D16" s="22" t="s">
        <v>34</v>
      </c>
      <c r="E16" s="23">
        <v>1.0</v>
      </c>
      <c r="F16" s="23">
        <v>1.165132</v>
      </c>
      <c r="H16" s="24" t="s">
        <v>31</v>
      </c>
      <c r="I16" s="25">
        <f>J9</f>
        <v>0.7860240385</v>
      </c>
      <c r="J16" s="25">
        <f>J6</f>
        <v>0.9031525</v>
      </c>
    </row>
    <row r="17">
      <c r="A17" s="22" t="s">
        <v>18</v>
      </c>
      <c r="B17" s="22" t="s">
        <v>18</v>
      </c>
      <c r="C17" s="22" t="s">
        <v>34</v>
      </c>
      <c r="D17" s="22" t="s">
        <v>34</v>
      </c>
      <c r="E17" s="23">
        <v>1.0</v>
      </c>
      <c r="F17" s="23">
        <v>0.587465</v>
      </c>
    </row>
    <row r="18">
      <c r="A18" s="22" t="s">
        <v>18</v>
      </c>
      <c r="B18" s="22" t="s">
        <v>18</v>
      </c>
      <c r="C18" s="22" t="s">
        <v>34</v>
      </c>
      <c r="D18" s="22" t="s">
        <v>34</v>
      </c>
      <c r="E18" s="23">
        <v>1.0</v>
      </c>
      <c r="F18" s="23">
        <v>0.583905</v>
      </c>
      <c r="H18" s="24" t="s">
        <v>32</v>
      </c>
    </row>
    <row r="19">
      <c r="A19" s="22" t="s">
        <v>18</v>
      </c>
      <c r="B19" s="22" t="s">
        <v>18</v>
      </c>
      <c r="C19" s="22" t="s">
        <v>34</v>
      </c>
      <c r="D19" s="22" t="s">
        <v>34</v>
      </c>
      <c r="E19" s="23">
        <v>1.0</v>
      </c>
      <c r="F19" s="23">
        <v>0.702266</v>
      </c>
      <c r="H19" s="22" t="s">
        <v>22</v>
      </c>
      <c r="J19" s="25">
        <f>L4/60*100</f>
        <v>93.33333333</v>
      </c>
    </row>
    <row r="20">
      <c r="A20" s="22" t="s">
        <v>18</v>
      </c>
      <c r="B20" s="22" t="s">
        <v>18</v>
      </c>
      <c r="C20" s="22" t="s">
        <v>34</v>
      </c>
      <c r="D20" s="22" t="s">
        <v>34</v>
      </c>
      <c r="E20" s="23">
        <v>1.0</v>
      </c>
      <c r="F20" s="23">
        <v>0.561177</v>
      </c>
      <c r="H20" s="22" t="s">
        <v>23</v>
      </c>
      <c r="J20" s="25">
        <f t="shared" ref="J20:J21" si="3">L5/30*100</f>
        <v>93.33333333</v>
      </c>
    </row>
    <row r="21">
      <c r="A21" s="22" t="s">
        <v>18</v>
      </c>
      <c r="B21" s="22" t="s">
        <v>18</v>
      </c>
      <c r="C21" s="22" t="s">
        <v>34</v>
      </c>
      <c r="D21" s="22" t="s">
        <v>34</v>
      </c>
      <c r="E21" s="23">
        <v>1.0</v>
      </c>
      <c r="F21" s="23">
        <v>2.432994</v>
      </c>
      <c r="H21" s="22" t="s">
        <v>24</v>
      </c>
      <c r="J21" s="25">
        <f t="shared" si="3"/>
        <v>93.33333333</v>
      </c>
    </row>
    <row r="22">
      <c r="A22" s="22" t="s">
        <v>18</v>
      </c>
      <c r="B22" s="22" t="s">
        <v>18</v>
      </c>
      <c r="C22" s="22" t="s">
        <v>34</v>
      </c>
      <c r="D22" s="22" t="s">
        <v>34</v>
      </c>
      <c r="E22" s="23">
        <v>1.0</v>
      </c>
      <c r="F22" s="23">
        <v>0.568571</v>
      </c>
      <c r="H22" s="22" t="s">
        <v>25</v>
      </c>
      <c r="J22" s="25">
        <f>L7/60*100</f>
        <v>93.33333333</v>
      </c>
    </row>
    <row r="23">
      <c r="A23" s="22" t="s">
        <v>18</v>
      </c>
      <c r="B23" s="22" t="s">
        <v>18</v>
      </c>
      <c r="C23" s="22" t="s">
        <v>34</v>
      </c>
      <c r="D23" s="22" t="s">
        <v>34</v>
      </c>
      <c r="E23" s="23">
        <v>1.0</v>
      </c>
      <c r="F23" s="23">
        <v>0.714124</v>
      </c>
      <c r="H23" s="22" t="s">
        <v>26</v>
      </c>
      <c r="J23" s="25">
        <f t="shared" ref="J23:J24" si="4">L8/30*100</f>
        <v>100</v>
      </c>
    </row>
    <row r="24">
      <c r="A24" s="22" t="s">
        <v>18</v>
      </c>
      <c r="B24" s="22" t="s">
        <v>18</v>
      </c>
      <c r="C24" s="22" t="s">
        <v>34</v>
      </c>
      <c r="D24" s="22" t="s">
        <v>34</v>
      </c>
      <c r="E24" s="23">
        <v>1.0</v>
      </c>
      <c r="F24" s="23">
        <v>0.709452</v>
      </c>
      <c r="H24" s="22" t="s">
        <v>27</v>
      </c>
      <c r="J24" s="25">
        <f t="shared" si="4"/>
        <v>86.66666667</v>
      </c>
    </row>
    <row r="25">
      <c r="A25" s="22" t="s">
        <v>18</v>
      </c>
      <c r="B25" s="22" t="s">
        <v>18</v>
      </c>
      <c r="C25" s="22" t="s">
        <v>34</v>
      </c>
      <c r="D25" s="22" t="s">
        <v>34</v>
      </c>
      <c r="E25" s="23">
        <v>1.0</v>
      </c>
      <c r="F25" s="23">
        <v>0.711871</v>
      </c>
    </row>
    <row r="26">
      <c r="A26" s="22" t="s">
        <v>18</v>
      </c>
      <c r="B26" s="22" t="s">
        <v>18</v>
      </c>
      <c r="C26" s="22" t="s">
        <v>34</v>
      </c>
      <c r="D26" s="22" t="s">
        <v>34</v>
      </c>
      <c r="E26" s="23">
        <v>1.0</v>
      </c>
      <c r="F26" s="23">
        <v>0.615941</v>
      </c>
    </row>
    <row r="27">
      <c r="A27" s="22" t="s">
        <v>18</v>
      </c>
      <c r="B27" s="22" t="s">
        <v>18</v>
      </c>
      <c r="C27" s="22" t="s">
        <v>34</v>
      </c>
      <c r="D27" s="22" t="s">
        <v>34</v>
      </c>
      <c r="E27" s="23">
        <v>1.0</v>
      </c>
      <c r="F27" s="23">
        <v>0.491788</v>
      </c>
    </row>
    <row r="28">
      <c r="A28" s="22" t="s">
        <v>18</v>
      </c>
      <c r="B28" s="22" t="s">
        <v>33</v>
      </c>
      <c r="C28" s="22" t="s">
        <v>19</v>
      </c>
      <c r="D28" s="22" t="s">
        <v>34</v>
      </c>
      <c r="E28" s="23">
        <v>1.0</v>
      </c>
      <c r="F28" s="23">
        <v>0.769475</v>
      </c>
    </row>
    <row r="29">
      <c r="A29" s="22" t="s">
        <v>18</v>
      </c>
      <c r="B29" s="22" t="s">
        <v>33</v>
      </c>
      <c r="C29" s="22" t="s">
        <v>19</v>
      </c>
      <c r="D29" s="22" t="s">
        <v>34</v>
      </c>
      <c r="E29" s="23">
        <v>1.0</v>
      </c>
      <c r="F29" s="23">
        <v>0.5164</v>
      </c>
    </row>
    <row r="30">
      <c r="A30" s="22" t="s">
        <v>18</v>
      </c>
      <c r="B30" s="22" t="s">
        <v>33</v>
      </c>
      <c r="C30" s="22" t="s">
        <v>19</v>
      </c>
      <c r="D30" s="22" t="s">
        <v>34</v>
      </c>
      <c r="E30" s="23">
        <v>1.0</v>
      </c>
      <c r="F30" s="23">
        <v>0.506639</v>
      </c>
    </row>
    <row r="31">
      <c r="A31" s="22" t="s">
        <v>18</v>
      </c>
      <c r="B31" s="22" t="s">
        <v>33</v>
      </c>
      <c r="C31" s="22" t="s">
        <v>19</v>
      </c>
      <c r="D31" s="22" t="s">
        <v>34</v>
      </c>
      <c r="E31" s="23">
        <v>1.0</v>
      </c>
      <c r="F31" s="23">
        <v>0.573782</v>
      </c>
    </row>
    <row r="32">
      <c r="A32" s="22" t="s">
        <v>18</v>
      </c>
      <c r="B32" s="22" t="s">
        <v>33</v>
      </c>
      <c r="C32" s="22" t="s">
        <v>19</v>
      </c>
      <c r="D32" s="22" t="s">
        <v>34</v>
      </c>
      <c r="E32" s="23">
        <v>1.0</v>
      </c>
      <c r="F32" s="23">
        <v>0.575467</v>
      </c>
    </row>
    <row r="33">
      <c r="A33" s="22" t="s">
        <v>18</v>
      </c>
      <c r="B33" s="22" t="s">
        <v>33</v>
      </c>
      <c r="C33" s="22" t="s">
        <v>19</v>
      </c>
      <c r="D33" s="22" t="s">
        <v>34</v>
      </c>
      <c r="E33" s="23">
        <v>1.0</v>
      </c>
      <c r="F33" s="23">
        <v>0.527924</v>
      </c>
    </row>
    <row r="34">
      <c r="A34" s="22" t="s">
        <v>18</v>
      </c>
      <c r="B34" s="22" t="s">
        <v>33</v>
      </c>
      <c r="C34" s="22" t="s">
        <v>19</v>
      </c>
      <c r="D34" s="22" t="s">
        <v>34</v>
      </c>
      <c r="E34" s="23">
        <v>1.0</v>
      </c>
      <c r="F34" s="23">
        <v>0.61896</v>
      </c>
    </row>
    <row r="35">
      <c r="A35" s="22" t="s">
        <v>18</v>
      </c>
      <c r="B35" s="22" t="s">
        <v>33</v>
      </c>
      <c r="C35" s="22" t="s">
        <v>19</v>
      </c>
      <c r="D35" s="22" t="s">
        <v>34</v>
      </c>
      <c r="E35" s="23">
        <v>1.0</v>
      </c>
      <c r="F35" s="23">
        <v>0.986264</v>
      </c>
    </row>
    <row r="36">
      <c r="A36" s="22" t="s">
        <v>18</v>
      </c>
      <c r="B36" s="22" t="s">
        <v>33</v>
      </c>
      <c r="C36" s="22" t="s">
        <v>19</v>
      </c>
      <c r="D36" s="22" t="s">
        <v>34</v>
      </c>
      <c r="E36" s="23">
        <v>1.0</v>
      </c>
      <c r="F36" s="23">
        <v>1.75187</v>
      </c>
    </row>
    <row r="37">
      <c r="A37" s="22" t="s">
        <v>18</v>
      </c>
      <c r="B37" s="22" t="s">
        <v>33</v>
      </c>
      <c r="C37" s="22" t="s">
        <v>19</v>
      </c>
      <c r="D37" s="22" t="s">
        <v>34</v>
      </c>
      <c r="E37" s="23">
        <v>1.0</v>
      </c>
      <c r="F37" s="23">
        <v>0.678657</v>
      </c>
    </row>
    <row r="38">
      <c r="A38" s="22" t="s">
        <v>18</v>
      </c>
      <c r="B38" s="22" t="s">
        <v>33</v>
      </c>
      <c r="C38" s="22" t="s">
        <v>19</v>
      </c>
      <c r="D38" s="22" t="s">
        <v>34</v>
      </c>
      <c r="E38" s="23">
        <v>1.0</v>
      </c>
      <c r="F38" s="23">
        <v>0.628249</v>
      </c>
    </row>
    <row r="39">
      <c r="A39" s="22" t="s">
        <v>18</v>
      </c>
      <c r="B39" s="22" t="s">
        <v>33</v>
      </c>
      <c r="C39" s="22" t="s">
        <v>19</v>
      </c>
      <c r="D39" s="22" t="s">
        <v>34</v>
      </c>
      <c r="E39" s="23">
        <v>1.0</v>
      </c>
      <c r="F39" s="23">
        <v>3.62408</v>
      </c>
    </row>
    <row r="40">
      <c r="A40" s="22" t="s">
        <v>18</v>
      </c>
      <c r="B40" s="22" t="s">
        <v>33</v>
      </c>
      <c r="C40" s="22" t="s">
        <v>19</v>
      </c>
      <c r="D40" s="22" t="s">
        <v>34</v>
      </c>
      <c r="E40" s="23">
        <v>1.0</v>
      </c>
      <c r="F40" s="23">
        <v>0.884799</v>
      </c>
    </row>
    <row r="41">
      <c r="A41" s="22" t="s">
        <v>18</v>
      </c>
      <c r="B41" s="22" t="s">
        <v>33</v>
      </c>
      <c r="C41" s="22" t="s">
        <v>19</v>
      </c>
      <c r="D41" s="22" t="s">
        <v>34</v>
      </c>
      <c r="E41" s="23">
        <v>1.0</v>
      </c>
      <c r="F41" s="23">
        <v>0.559396</v>
      </c>
    </row>
    <row r="42">
      <c r="A42" s="22" t="s">
        <v>18</v>
      </c>
      <c r="B42" s="22" t="s">
        <v>33</v>
      </c>
      <c r="C42" s="22" t="s">
        <v>19</v>
      </c>
      <c r="D42" s="22" t="s">
        <v>34</v>
      </c>
      <c r="E42" s="23">
        <v>1.0</v>
      </c>
      <c r="F42" s="23">
        <v>2.024069</v>
      </c>
    </row>
    <row r="43">
      <c r="A43" s="22" t="s">
        <v>18</v>
      </c>
      <c r="B43" s="22" t="s">
        <v>33</v>
      </c>
      <c r="C43" s="22" t="s">
        <v>19</v>
      </c>
      <c r="D43" s="22" t="s">
        <v>34</v>
      </c>
      <c r="E43" s="23">
        <v>1.0</v>
      </c>
      <c r="F43" s="23">
        <v>0.496944</v>
      </c>
    </row>
    <row r="44">
      <c r="A44" s="22" t="s">
        <v>18</v>
      </c>
      <c r="B44" s="22" t="s">
        <v>33</v>
      </c>
      <c r="C44" s="22" t="s">
        <v>19</v>
      </c>
      <c r="D44" s="22" t="s">
        <v>34</v>
      </c>
      <c r="E44" s="23">
        <v>1.0</v>
      </c>
      <c r="F44" s="23">
        <v>0.527332</v>
      </c>
    </row>
    <row r="45">
      <c r="A45" s="22" t="s">
        <v>18</v>
      </c>
      <c r="B45" s="22" t="s">
        <v>33</v>
      </c>
      <c r="C45" s="22" t="s">
        <v>19</v>
      </c>
      <c r="D45" s="22" t="s">
        <v>34</v>
      </c>
      <c r="E45" s="23">
        <v>1.0</v>
      </c>
      <c r="F45" s="23">
        <v>1.383468</v>
      </c>
    </row>
    <row r="46">
      <c r="A46" s="22" t="s">
        <v>18</v>
      </c>
      <c r="B46" s="22" t="s">
        <v>33</v>
      </c>
      <c r="C46" s="22" t="s">
        <v>19</v>
      </c>
      <c r="D46" s="22" t="s">
        <v>34</v>
      </c>
      <c r="E46" s="23">
        <v>1.0</v>
      </c>
      <c r="F46" s="23">
        <v>0.962501</v>
      </c>
    </row>
    <row r="47">
      <c r="A47" s="22" t="s">
        <v>18</v>
      </c>
      <c r="B47" s="22" t="s">
        <v>33</v>
      </c>
      <c r="C47" s="22" t="s">
        <v>19</v>
      </c>
      <c r="D47" s="22" t="s">
        <v>34</v>
      </c>
      <c r="E47" s="23">
        <v>1.0</v>
      </c>
      <c r="F47" s="23">
        <v>1.606295</v>
      </c>
    </row>
    <row r="48">
      <c r="A48" s="22" t="s">
        <v>18</v>
      </c>
      <c r="B48" s="22" t="s">
        <v>33</v>
      </c>
      <c r="C48" s="22" t="s">
        <v>19</v>
      </c>
      <c r="D48" s="22" t="s">
        <v>34</v>
      </c>
      <c r="E48" s="23">
        <v>1.0</v>
      </c>
      <c r="F48" s="23">
        <v>0.548815</v>
      </c>
    </row>
    <row r="49">
      <c r="A49" s="22" t="s">
        <v>18</v>
      </c>
      <c r="B49" s="22" t="s">
        <v>33</v>
      </c>
      <c r="C49" s="22" t="s">
        <v>19</v>
      </c>
      <c r="D49" s="22" t="s">
        <v>34</v>
      </c>
      <c r="E49" s="23">
        <v>1.0</v>
      </c>
      <c r="F49" s="23">
        <v>0.508194</v>
      </c>
    </row>
    <row r="50">
      <c r="A50" s="22" t="s">
        <v>18</v>
      </c>
      <c r="B50" s="22" t="s">
        <v>33</v>
      </c>
      <c r="C50" s="22" t="s">
        <v>19</v>
      </c>
      <c r="D50" s="22" t="s">
        <v>34</v>
      </c>
      <c r="E50" s="23">
        <v>1.0</v>
      </c>
      <c r="F50" s="23">
        <v>0.474434</v>
      </c>
    </row>
    <row r="51">
      <c r="A51" s="22" t="s">
        <v>18</v>
      </c>
      <c r="B51" s="22" t="s">
        <v>33</v>
      </c>
      <c r="C51" s="22" t="s">
        <v>19</v>
      </c>
      <c r="D51" s="22" t="s">
        <v>34</v>
      </c>
      <c r="E51" s="23">
        <v>1.0</v>
      </c>
      <c r="F51" s="23">
        <v>0.672955</v>
      </c>
    </row>
    <row r="52">
      <c r="A52" s="22" t="s">
        <v>18</v>
      </c>
      <c r="B52" s="22" t="s">
        <v>33</v>
      </c>
      <c r="C52" s="22" t="s">
        <v>19</v>
      </c>
      <c r="D52" s="22" t="s">
        <v>34</v>
      </c>
      <c r="E52" s="23">
        <v>1.0</v>
      </c>
      <c r="F52" s="23">
        <v>0.544198</v>
      </c>
    </row>
    <row r="53">
      <c r="A53" s="22" t="s">
        <v>18</v>
      </c>
      <c r="B53" s="22" t="s">
        <v>33</v>
      </c>
      <c r="C53" s="22" t="s">
        <v>19</v>
      </c>
      <c r="D53" s="22" t="s">
        <v>34</v>
      </c>
      <c r="E53" s="23">
        <v>1.0</v>
      </c>
      <c r="F53" s="23">
        <v>0.501536</v>
      </c>
    </row>
    <row r="54">
      <c r="A54" s="22" t="s">
        <v>18</v>
      </c>
      <c r="B54" s="22" t="s">
        <v>33</v>
      </c>
      <c r="C54" s="22" t="s">
        <v>19</v>
      </c>
      <c r="D54" s="22" t="s">
        <v>34</v>
      </c>
      <c r="E54" s="23">
        <v>1.0</v>
      </c>
      <c r="F54" s="23">
        <v>1.111151</v>
      </c>
    </row>
    <row r="55">
      <c r="A55" s="22" t="s">
        <v>18</v>
      </c>
      <c r="B55" s="22" t="s">
        <v>33</v>
      </c>
      <c r="C55" s="22" t="s">
        <v>19</v>
      </c>
      <c r="D55" s="22" t="s">
        <v>34</v>
      </c>
      <c r="E55" s="23">
        <v>1.0</v>
      </c>
      <c r="F55" s="23">
        <v>0.724416</v>
      </c>
    </row>
    <row r="56">
      <c r="A56" s="22" t="s">
        <v>33</v>
      </c>
      <c r="B56" s="22" t="s">
        <v>18</v>
      </c>
      <c r="C56" s="22" t="s">
        <v>19</v>
      </c>
      <c r="D56" s="22" t="s">
        <v>34</v>
      </c>
      <c r="E56" s="23">
        <v>1.0</v>
      </c>
      <c r="F56" s="23">
        <v>0.732355</v>
      </c>
    </row>
    <row r="57">
      <c r="A57" s="22" t="s">
        <v>33</v>
      </c>
      <c r="B57" s="22" t="s">
        <v>18</v>
      </c>
      <c r="C57" s="22" t="s">
        <v>19</v>
      </c>
      <c r="D57" s="22" t="s">
        <v>34</v>
      </c>
      <c r="E57" s="23">
        <v>1.0</v>
      </c>
      <c r="F57" s="23">
        <v>1.075865</v>
      </c>
    </row>
    <row r="58">
      <c r="A58" s="22" t="s">
        <v>33</v>
      </c>
      <c r="B58" s="22" t="s">
        <v>18</v>
      </c>
      <c r="C58" s="22" t="s">
        <v>19</v>
      </c>
      <c r="D58" s="22" t="s">
        <v>34</v>
      </c>
      <c r="E58" s="23">
        <v>1.0</v>
      </c>
      <c r="F58" s="23">
        <v>0.722794</v>
      </c>
    </row>
    <row r="59">
      <c r="A59" s="22" t="s">
        <v>33</v>
      </c>
      <c r="B59" s="22" t="s">
        <v>18</v>
      </c>
      <c r="C59" s="22" t="s">
        <v>19</v>
      </c>
      <c r="D59" s="22" t="s">
        <v>34</v>
      </c>
      <c r="E59" s="23">
        <v>1.0</v>
      </c>
      <c r="F59" s="23">
        <v>2.351226</v>
      </c>
    </row>
    <row r="60">
      <c r="A60" s="22" t="s">
        <v>33</v>
      </c>
      <c r="B60" s="22" t="s">
        <v>18</v>
      </c>
      <c r="C60" s="22" t="s">
        <v>19</v>
      </c>
      <c r="D60" s="22" t="s">
        <v>34</v>
      </c>
      <c r="E60" s="23">
        <v>1.0</v>
      </c>
      <c r="F60" s="23">
        <v>0.587725</v>
      </c>
    </row>
    <row r="61">
      <c r="A61" s="22" t="s">
        <v>33</v>
      </c>
      <c r="B61" s="22" t="s">
        <v>18</v>
      </c>
      <c r="C61" s="22" t="s">
        <v>19</v>
      </c>
      <c r="D61" s="22" t="s">
        <v>34</v>
      </c>
      <c r="E61" s="23">
        <v>1.0</v>
      </c>
      <c r="F61" s="23">
        <v>0.775535</v>
      </c>
    </row>
    <row r="62">
      <c r="A62" s="22" t="s">
        <v>33</v>
      </c>
      <c r="B62" s="22" t="s">
        <v>18</v>
      </c>
      <c r="C62" s="22" t="s">
        <v>19</v>
      </c>
      <c r="D62" s="22" t="s">
        <v>34</v>
      </c>
      <c r="E62" s="23">
        <v>1.0</v>
      </c>
      <c r="F62" s="23">
        <v>0.594686</v>
      </c>
    </row>
    <row r="63">
      <c r="A63" s="22" t="s">
        <v>33</v>
      </c>
      <c r="B63" s="22" t="s">
        <v>18</v>
      </c>
      <c r="C63" s="22" t="s">
        <v>19</v>
      </c>
      <c r="D63" s="22" t="s">
        <v>34</v>
      </c>
      <c r="E63" s="23">
        <v>1.0</v>
      </c>
      <c r="F63" s="23">
        <v>0.649953</v>
      </c>
    </row>
    <row r="64">
      <c r="A64" s="22" t="s">
        <v>33</v>
      </c>
      <c r="B64" s="22" t="s">
        <v>18</v>
      </c>
      <c r="C64" s="22" t="s">
        <v>19</v>
      </c>
      <c r="D64" s="22" t="s">
        <v>34</v>
      </c>
      <c r="E64" s="23">
        <v>1.0</v>
      </c>
      <c r="F64" s="23">
        <v>0.940983</v>
      </c>
    </row>
    <row r="65">
      <c r="A65" s="22" t="s">
        <v>33</v>
      </c>
      <c r="B65" s="22" t="s">
        <v>18</v>
      </c>
      <c r="C65" s="22" t="s">
        <v>19</v>
      </c>
      <c r="D65" s="22" t="s">
        <v>34</v>
      </c>
      <c r="E65" s="23">
        <v>1.0</v>
      </c>
      <c r="F65" s="23">
        <v>0.51525</v>
      </c>
    </row>
    <row r="66">
      <c r="A66" s="22" t="s">
        <v>33</v>
      </c>
      <c r="B66" s="22" t="s">
        <v>18</v>
      </c>
      <c r="C66" s="22" t="s">
        <v>19</v>
      </c>
      <c r="D66" s="22" t="s">
        <v>34</v>
      </c>
      <c r="E66" s="23">
        <v>1.0</v>
      </c>
      <c r="F66" s="23">
        <v>0.508755</v>
      </c>
    </row>
    <row r="67">
      <c r="A67" s="22" t="s">
        <v>33</v>
      </c>
      <c r="B67" s="22" t="s">
        <v>18</v>
      </c>
      <c r="C67" s="22" t="s">
        <v>19</v>
      </c>
      <c r="D67" s="22" t="s">
        <v>34</v>
      </c>
      <c r="E67" s="23">
        <v>1.0</v>
      </c>
      <c r="F67" s="23">
        <v>1.542732</v>
      </c>
    </row>
    <row r="68">
      <c r="A68" s="22" t="s">
        <v>33</v>
      </c>
      <c r="B68" s="22" t="s">
        <v>18</v>
      </c>
      <c r="C68" s="22" t="s">
        <v>19</v>
      </c>
      <c r="D68" s="22" t="s">
        <v>34</v>
      </c>
      <c r="E68" s="23">
        <v>1.0</v>
      </c>
      <c r="F68" s="23">
        <v>0.665767</v>
      </c>
    </row>
    <row r="69">
      <c r="A69" s="22" t="s">
        <v>33</v>
      </c>
      <c r="B69" s="22" t="s">
        <v>18</v>
      </c>
      <c r="C69" s="22" t="s">
        <v>19</v>
      </c>
      <c r="D69" s="22" t="s">
        <v>34</v>
      </c>
      <c r="E69" s="23">
        <v>1.0</v>
      </c>
      <c r="F69" s="23">
        <v>0.354335</v>
      </c>
    </row>
    <row r="70">
      <c r="A70" s="22" t="s">
        <v>33</v>
      </c>
      <c r="B70" s="22" t="s">
        <v>18</v>
      </c>
      <c r="C70" s="22" t="s">
        <v>19</v>
      </c>
      <c r="D70" s="22" t="s">
        <v>34</v>
      </c>
      <c r="E70" s="23">
        <v>1.0</v>
      </c>
      <c r="F70" s="23">
        <v>0.918723</v>
      </c>
    </row>
    <row r="71">
      <c r="A71" s="22" t="s">
        <v>33</v>
      </c>
      <c r="B71" s="22" t="s">
        <v>18</v>
      </c>
      <c r="C71" s="22" t="s">
        <v>19</v>
      </c>
      <c r="D71" s="22" t="s">
        <v>34</v>
      </c>
      <c r="E71" s="23">
        <v>1.0</v>
      </c>
      <c r="F71" s="23">
        <v>0.807556</v>
      </c>
    </row>
    <row r="72">
      <c r="A72" s="22" t="s">
        <v>33</v>
      </c>
      <c r="B72" s="22" t="s">
        <v>18</v>
      </c>
      <c r="C72" s="22" t="s">
        <v>19</v>
      </c>
      <c r="D72" s="22" t="s">
        <v>34</v>
      </c>
      <c r="E72" s="23">
        <v>1.0</v>
      </c>
      <c r="F72" s="23">
        <v>0.503185</v>
      </c>
    </row>
    <row r="73">
      <c r="A73" s="22" t="s">
        <v>33</v>
      </c>
      <c r="B73" s="22" t="s">
        <v>18</v>
      </c>
      <c r="C73" s="22" t="s">
        <v>19</v>
      </c>
      <c r="D73" s="22" t="s">
        <v>34</v>
      </c>
      <c r="E73" s="23">
        <v>1.0</v>
      </c>
      <c r="F73" s="23">
        <v>0.669595</v>
      </c>
    </row>
    <row r="74">
      <c r="A74" s="22" t="s">
        <v>33</v>
      </c>
      <c r="B74" s="22" t="s">
        <v>18</v>
      </c>
      <c r="C74" s="22" t="s">
        <v>19</v>
      </c>
      <c r="D74" s="22" t="s">
        <v>34</v>
      </c>
      <c r="E74" s="23">
        <v>1.0</v>
      </c>
      <c r="F74" s="23">
        <v>0.711876</v>
      </c>
    </row>
    <row r="75">
      <c r="A75" s="22" t="s">
        <v>33</v>
      </c>
      <c r="B75" s="22" t="s">
        <v>18</v>
      </c>
      <c r="C75" s="22" t="s">
        <v>19</v>
      </c>
      <c r="D75" s="22" t="s">
        <v>34</v>
      </c>
      <c r="E75" s="23">
        <v>1.0</v>
      </c>
      <c r="F75" s="23">
        <v>7.091318</v>
      </c>
    </row>
    <row r="76">
      <c r="A76" s="22" t="s">
        <v>33</v>
      </c>
      <c r="B76" s="22" t="s">
        <v>18</v>
      </c>
      <c r="C76" s="22" t="s">
        <v>19</v>
      </c>
      <c r="D76" s="22" t="s">
        <v>34</v>
      </c>
      <c r="E76" s="23">
        <v>1.0</v>
      </c>
      <c r="F76" s="23">
        <v>0.481647</v>
      </c>
    </row>
    <row r="77">
      <c r="A77" s="22" t="s">
        <v>33</v>
      </c>
      <c r="B77" s="22" t="s">
        <v>18</v>
      </c>
      <c r="C77" s="22" t="s">
        <v>19</v>
      </c>
      <c r="D77" s="22" t="s">
        <v>34</v>
      </c>
      <c r="E77" s="23">
        <v>1.0</v>
      </c>
      <c r="F77" s="23">
        <v>0.549674</v>
      </c>
    </row>
    <row r="78">
      <c r="A78" s="22" t="s">
        <v>33</v>
      </c>
      <c r="B78" s="22" t="s">
        <v>18</v>
      </c>
      <c r="C78" s="22" t="s">
        <v>19</v>
      </c>
      <c r="D78" s="22" t="s">
        <v>34</v>
      </c>
      <c r="E78" s="23">
        <v>1.0</v>
      </c>
      <c r="F78" s="23">
        <v>0.623304</v>
      </c>
    </row>
    <row r="79">
      <c r="A79" s="22" t="s">
        <v>33</v>
      </c>
      <c r="B79" s="22" t="s">
        <v>18</v>
      </c>
      <c r="C79" s="22" t="s">
        <v>19</v>
      </c>
      <c r="D79" s="22" t="s">
        <v>34</v>
      </c>
      <c r="E79" s="23">
        <v>1.0</v>
      </c>
      <c r="F79" s="23">
        <v>0.523217</v>
      </c>
    </row>
    <row r="80">
      <c r="A80" s="22" t="s">
        <v>33</v>
      </c>
      <c r="B80" s="22" t="s">
        <v>18</v>
      </c>
      <c r="C80" s="22" t="s">
        <v>19</v>
      </c>
      <c r="D80" s="22" t="s">
        <v>34</v>
      </c>
      <c r="E80" s="23">
        <v>1.0</v>
      </c>
      <c r="F80" s="23">
        <v>0.622344</v>
      </c>
    </row>
    <row r="81">
      <c r="A81" s="22" t="s">
        <v>33</v>
      </c>
      <c r="B81" s="22" t="s">
        <v>18</v>
      </c>
      <c r="C81" s="22" t="s">
        <v>19</v>
      </c>
      <c r="D81" s="22" t="s">
        <v>34</v>
      </c>
      <c r="E81" s="23">
        <v>1.0</v>
      </c>
      <c r="F81" s="23">
        <v>0.575851</v>
      </c>
    </row>
    <row r="82">
      <c r="A82" s="22" t="s">
        <v>33</v>
      </c>
      <c r="B82" s="22" t="s">
        <v>18</v>
      </c>
      <c r="C82" s="22" t="s">
        <v>19</v>
      </c>
      <c r="D82" s="22" t="s">
        <v>34</v>
      </c>
      <c r="E82" s="23">
        <v>1.0</v>
      </c>
      <c r="F82" s="23">
        <v>0.459166</v>
      </c>
    </row>
    <row r="83">
      <c r="A83" s="22" t="s">
        <v>33</v>
      </c>
      <c r="B83" s="22" t="s">
        <v>18</v>
      </c>
      <c r="C83" s="22" t="s">
        <v>19</v>
      </c>
      <c r="D83" s="22" t="s">
        <v>34</v>
      </c>
      <c r="E83" s="23">
        <v>1.0</v>
      </c>
      <c r="F83" s="23">
        <v>0.544784</v>
      </c>
    </row>
    <row r="84">
      <c r="A84" s="22" t="s">
        <v>33</v>
      </c>
      <c r="B84" s="22" t="s">
        <v>33</v>
      </c>
      <c r="C84" s="22" t="s">
        <v>34</v>
      </c>
      <c r="D84" s="22" t="s">
        <v>34</v>
      </c>
      <c r="E84" s="23">
        <v>1.0</v>
      </c>
      <c r="F84" s="23">
        <v>0.647374</v>
      </c>
    </row>
    <row r="85">
      <c r="A85" s="22" t="s">
        <v>33</v>
      </c>
      <c r="B85" s="22" t="s">
        <v>33</v>
      </c>
      <c r="C85" s="22" t="s">
        <v>34</v>
      </c>
      <c r="D85" s="22" t="s">
        <v>34</v>
      </c>
      <c r="E85" s="23">
        <v>1.0</v>
      </c>
      <c r="F85" s="23">
        <v>0.556885</v>
      </c>
    </row>
    <row r="86">
      <c r="A86" s="22" t="s">
        <v>33</v>
      </c>
      <c r="B86" s="22" t="s">
        <v>33</v>
      </c>
      <c r="C86" s="22" t="s">
        <v>34</v>
      </c>
      <c r="D86" s="22" t="s">
        <v>34</v>
      </c>
      <c r="E86" s="23">
        <v>1.0</v>
      </c>
      <c r="F86" s="23">
        <v>0.673367</v>
      </c>
    </row>
    <row r="87">
      <c r="A87" s="22" t="s">
        <v>33</v>
      </c>
      <c r="B87" s="22" t="s">
        <v>33</v>
      </c>
      <c r="C87" s="22" t="s">
        <v>34</v>
      </c>
      <c r="D87" s="22" t="s">
        <v>34</v>
      </c>
      <c r="E87" s="23">
        <v>1.0</v>
      </c>
      <c r="F87" s="23">
        <v>0.744302</v>
      </c>
    </row>
    <row r="88">
      <c r="A88" s="22" t="s">
        <v>33</v>
      </c>
      <c r="B88" s="22" t="s">
        <v>33</v>
      </c>
      <c r="C88" s="22" t="s">
        <v>34</v>
      </c>
      <c r="D88" s="22" t="s">
        <v>34</v>
      </c>
      <c r="E88" s="23">
        <v>1.0</v>
      </c>
      <c r="F88" s="23">
        <v>0.791936</v>
      </c>
    </row>
    <row r="89">
      <c r="A89" s="22" t="s">
        <v>33</v>
      </c>
      <c r="B89" s="22" t="s">
        <v>33</v>
      </c>
      <c r="C89" s="22" t="s">
        <v>34</v>
      </c>
      <c r="D89" s="22" t="s">
        <v>34</v>
      </c>
      <c r="E89" s="23">
        <v>1.0</v>
      </c>
      <c r="F89" s="23">
        <v>0.657639</v>
      </c>
    </row>
    <row r="90">
      <c r="A90" s="22" t="s">
        <v>33</v>
      </c>
      <c r="B90" s="22" t="s">
        <v>33</v>
      </c>
      <c r="C90" s="22" t="s">
        <v>34</v>
      </c>
      <c r="D90" s="22" t="s">
        <v>34</v>
      </c>
      <c r="E90" s="23">
        <v>1.0</v>
      </c>
      <c r="F90" s="23">
        <v>0.811094</v>
      </c>
    </row>
    <row r="91">
      <c r="A91" s="22" t="s">
        <v>33</v>
      </c>
      <c r="B91" s="22" t="s">
        <v>33</v>
      </c>
      <c r="C91" s="22" t="s">
        <v>34</v>
      </c>
      <c r="D91" s="22" t="s">
        <v>34</v>
      </c>
      <c r="E91" s="23">
        <v>1.0</v>
      </c>
      <c r="F91" s="23">
        <v>2.321778</v>
      </c>
    </row>
    <row r="92">
      <c r="A92" s="22" t="s">
        <v>33</v>
      </c>
      <c r="B92" s="22" t="s">
        <v>33</v>
      </c>
      <c r="C92" s="22" t="s">
        <v>34</v>
      </c>
      <c r="D92" s="22" t="s">
        <v>34</v>
      </c>
      <c r="E92" s="23">
        <v>1.0</v>
      </c>
      <c r="F92" s="23">
        <v>1.650044</v>
      </c>
    </row>
    <row r="93">
      <c r="A93" s="22" t="s">
        <v>33</v>
      </c>
      <c r="B93" s="22" t="s">
        <v>33</v>
      </c>
      <c r="C93" s="22" t="s">
        <v>34</v>
      </c>
      <c r="D93" s="22" t="s">
        <v>34</v>
      </c>
      <c r="E93" s="23">
        <v>1.0</v>
      </c>
      <c r="F93" s="23">
        <v>0.523317</v>
      </c>
    </row>
    <row r="94">
      <c r="A94" s="22" t="s">
        <v>33</v>
      </c>
      <c r="B94" s="22" t="s">
        <v>33</v>
      </c>
      <c r="C94" s="22" t="s">
        <v>34</v>
      </c>
      <c r="D94" s="22" t="s">
        <v>34</v>
      </c>
      <c r="E94" s="23">
        <v>1.0</v>
      </c>
      <c r="F94" s="23">
        <v>0.651291</v>
      </c>
    </row>
    <row r="95">
      <c r="A95" s="22" t="s">
        <v>33</v>
      </c>
      <c r="B95" s="22" t="s">
        <v>33</v>
      </c>
      <c r="C95" s="22" t="s">
        <v>34</v>
      </c>
      <c r="D95" s="22" t="s">
        <v>34</v>
      </c>
      <c r="E95" s="23">
        <v>1.0</v>
      </c>
      <c r="F95" s="23">
        <v>0.686606</v>
      </c>
    </row>
    <row r="96">
      <c r="A96" s="22" t="s">
        <v>33</v>
      </c>
      <c r="B96" s="22" t="s">
        <v>33</v>
      </c>
      <c r="C96" s="22" t="s">
        <v>34</v>
      </c>
      <c r="D96" s="22" t="s">
        <v>34</v>
      </c>
      <c r="E96" s="23">
        <v>1.0</v>
      </c>
      <c r="F96" s="23">
        <v>0.598945</v>
      </c>
    </row>
    <row r="97">
      <c r="A97" s="22" t="s">
        <v>33</v>
      </c>
      <c r="B97" s="22" t="s">
        <v>33</v>
      </c>
      <c r="C97" s="22" t="s">
        <v>34</v>
      </c>
      <c r="D97" s="22" t="s">
        <v>34</v>
      </c>
      <c r="E97" s="23">
        <v>1.0</v>
      </c>
      <c r="F97" s="23">
        <v>1.883263</v>
      </c>
    </row>
    <row r="98">
      <c r="A98" s="22" t="s">
        <v>33</v>
      </c>
      <c r="B98" s="22" t="s">
        <v>33</v>
      </c>
      <c r="C98" s="22" t="s">
        <v>34</v>
      </c>
      <c r="D98" s="22" t="s">
        <v>34</v>
      </c>
      <c r="E98" s="23">
        <v>1.0</v>
      </c>
      <c r="F98" s="23">
        <v>0.585492</v>
      </c>
    </row>
    <row r="99">
      <c r="A99" s="22" t="s">
        <v>33</v>
      </c>
      <c r="B99" s="22" t="s">
        <v>33</v>
      </c>
      <c r="C99" s="22" t="s">
        <v>34</v>
      </c>
      <c r="D99" s="22" t="s">
        <v>34</v>
      </c>
      <c r="E99" s="23">
        <v>1.0</v>
      </c>
      <c r="F99" s="23">
        <v>0.434862</v>
      </c>
    </row>
    <row r="100">
      <c r="A100" s="22" t="s">
        <v>33</v>
      </c>
      <c r="B100" s="22" t="s">
        <v>33</v>
      </c>
      <c r="C100" s="22" t="s">
        <v>34</v>
      </c>
      <c r="D100" s="22" t="s">
        <v>34</v>
      </c>
      <c r="E100" s="23">
        <v>1.0</v>
      </c>
      <c r="F100" s="23">
        <v>3.068363</v>
      </c>
    </row>
    <row r="101">
      <c r="A101" s="22" t="s">
        <v>33</v>
      </c>
      <c r="B101" s="22" t="s">
        <v>33</v>
      </c>
      <c r="C101" s="22" t="s">
        <v>34</v>
      </c>
      <c r="D101" s="22" t="s">
        <v>34</v>
      </c>
      <c r="E101" s="23">
        <v>1.0</v>
      </c>
      <c r="F101" s="23">
        <v>0.483281</v>
      </c>
    </row>
    <row r="102">
      <c r="A102" s="22" t="s">
        <v>33</v>
      </c>
      <c r="B102" s="22" t="s">
        <v>33</v>
      </c>
      <c r="C102" s="22" t="s">
        <v>34</v>
      </c>
      <c r="D102" s="22" t="s">
        <v>34</v>
      </c>
      <c r="E102" s="23">
        <v>1.0</v>
      </c>
      <c r="F102" s="23">
        <v>0.599105</v>
      </c>
    </row>
    <row r="103">
      <c r="A103" s="22" t="s">
        <v>33</v>
      </c>
      <c r="B103" s="22" t="s">
        <v>33</v>
      </c>
      <c r="C103" s="22" t="s">
        <v>34</v>
      </c>
      <c r="D103" s="22" t="s">
        <v>34</v>
      </c>
      <c r="E103" s="23">
        <v>1.0</v>
      </c>
      <c r="F103" s="23">
        <v>0.767434</v>
      </c>
    </row>
    <row r="104">
      <c r="A104" s="22" t="s">
        <v>33</v>
      </c>
      <c r="B104" s="22" t="s">
        <v>33</v>
      </c>
      <c r="C104" s="22" t="s">
        <v>34</v>
      </c>
      <c r="D104" s="22" t="s">
        <v>34</v>
      </c>
      <c r="E104" s="23">
        <v>1.0</v>
      </c>
      <c r="F104" s="23">
        <v>1.094462</v>
      </c>
    </row>
    <row r="105">
      <c r="A105" s="22" t="s">
        <v>33</v>
      </c>
      <c r="B105" s="22" t="s">
        <v>33</v>
      </c>
      <c r="C105" s="22" t="s">
        <v>34</v>
      </c>
      <c r="D105" s="22" t="s">
        <v>34</v>
      </c>
      <c r="E105" s="23">
        <v>1.0</v>
      </c>
      <c r="F105" s="23">
        <v>1.391211</v>
      </c>
    </row>
    <row r="106">
      <c r="A106" s="22" t="s">
        <v>33</v>
      </c>
      <c r="B106" s="22" t="s">
        <v>33</v>
      </c>
      <c r="C106" s="22" t="s">
        <v>34</v>
      </c>
      <c r="D106" s="22" t="s">
        <v>34</v>
      </c>
      <c r="E106" s="23">
        <v>1.0</v>
      </c>
      <c r="F106" s="23">
        <v>0.579543</v>
      </c>
    </row>
    <row r="107">
      <c r="A107" s="22" t="s">
        <v>33</v>
      </c>
      <c r="B107" s="22" t="s">
        <v>33</v>
      </c>
      <c r="C107" s="22" t="s">
        <v>34</v>
      </c>
      <c r="D107" s="22" t="s">
        <v>34</v>
      </c>
      <c r="E107" s="23">
        <v>1.0</v>
      </c>
      <c r="F107" s="23">
        <v>0.457495</v>
      </c>
    </row>
    <row r="108">
      <c r="A108" s="22" t="s">
        <v>33</v>
      </c>
      <c r="B108" s="22" t="s">
        <v>33</v>
      </c>
      <c r="C108" s="22" t="s">
        <v>34</v>
      </c>
      <c r="D108" s="22" t="s">
        <v>34</v>
      </c>
      <c r="E108" s="23">
        <v>1.0</v>
      </c>
      <c r="F108" s="23">
        <v>1.444903</v>
      </c>
    </row>
    <row r="109">
      <c r="A109" s="22" t="s">
        <v>33</v>
      </c>
      <c r="B109" s="22" t="s">
        <v>33</v>
      </c>
      <c r="C109" s="22" t="s">
        <v>34</v>
      </c>
      <c r="D109" s="22" t="s">
        <v>34</v>
      </c>
      <c r="E109" s="23">
        <v>1.0</v>
      </c>
      <c r="F109" s="23">
        <v>0.625867</v>
      </c>
    </row>
    <row r="110">
      <c r="A110" s="22" t="s">
        <v>33</v>
      </c>
      <c r="B110" s="22" t="s">
        <v>33</v>
      </c>
      <c r="C110" s="22" t="s">
        <v>34</v>
      </c>
      <c r="D110" s="22" t="s">
        <v>34</v>
      </c>
      <c r="E110" s="23">
        <v>1.0</v>
      </c>
      <c r="F110" s="23">
        <v>0.620248</v>
      </c>
    </row>
    <row r="111">
      <c r="A111" s="22" t="s">
        <v>33</v>
      </c>
      <c r="B111" s="22" t="s">
        <v>33</v>
      </c>
      <c r="C111" s="22" t="s">
        <v>34</v>
      </c>
      <c r="D111" s="22" t="s">
        <v>34</v>
      </c>
      <c r="E111" s="23">
        <v>1.0</v>
      </c>
      <c r="F111" s="23">
        <v>0.378061</v>
      </c>
    </row>
    <row r="112">
      <c r="A112" s="22" t="s">
        <v>33</v>
      </c>
      <c r="B112" s="22" t="s">
        <v>33</v>
      </c>
      <c r="C112" s="22" t="s">
        <v>34</v>
      </c>
      <c r="D112" s="22" t="s">
        <v>34</v>
      </c>
      <c r="E112" s="23">
        <v>1.0</v>
      </c>
      <c r="F112" s="23">
        <v>0.544267</v>
      </c>
    </row>
    <row r="113">
      <c r="A113" s="22" t="s">
        <v>33</v>
      </c>
      <c r="B113" s="22" t="s">
        <v>33</v>
      </c>
      <c r="C113" s="22" t="s">
        <v>34</v>
      </c>
      <c r="D113" s="22" t="s">
        <v>34</v>
      </c>
      <c r="E113" s="23">
        <v>1.0</v>
      </c>
      <c r="F113" s="23">
        <v>0.524917</v>
      </c>
    </row>
  </sheetData>
  <autoFilter ref="$A$1:$F$992">
    <sortState ref="A1:F992">
      <sortCondition ref="A1:A992"/>
      <sortCondition ref="B1:B992"/>
      <sortCondition ref="C1:C992"/>
    </sortState>
  </autoFilter>
  <mergeCells count="12">
    <mergeCell ref="H22:I22"/>
    <mergeCell ref="H23:I23"/>
    <mergeCell ref="H24:I24"/>
    <mergeCell ref="H20:I20"/>
    <mergeCell ref="H19:I19"/>
    <mergeCell ref="H4:I4"/>
    <mergeCell ref="H5:I5"/>
    <mergeCell ref="H6:I6"/>
    <mergeCell ref="H7:I7"/>
    <mergeCell ref="H8:I8"/>
    <mergeCell ref="H9:I9"/>
    <mergeCell ref="H21:I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19</v>
      </c>
      <c r="D2" s="22" t="s">
        <v>19</v>
      </c>
      <c r="E2" s="23">
        <v>1.0</v>
      </c>
      <c r="F2" s="23">
        <v>0.382237</v>
      </c>
      <c r="H2" s="22"/>
      <c r="I2" s="22"/>
      <c r="J2" s="21" t="s">
        <v>20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19</v>
      </c>
      <c r="D3" s="22" t="s">
        <v>19</v>
      </c>
      <c r="E3" s="23">
        <v>1.0</v>
      </c>
      <c r="F3" s="23">
        <v>0.386144</v>
      </c>
      <c r="H3" s="22" t="s">
        <v>22</v>
      </c>
      <c r="J3" s="25">
        <f>average(J4:J5)</f>
        <v>0.5462332107</v>
      </c>
      <c r="K3" s="24">
        <v>2.0</v>
      </c>
      <c r="L3" s="25">
        <f>60-K3</f>
        <v>58</v>
      </c>
    </row>
    <row r="4">
      <c r="A4" s="22" t="s">
        <v>18</v>
      </c>
      <c r="B4" s="22" t="s">
        <v>18</v>
      </c>
      <c r="C4" s="22" t="s">
        <v>19</v>
      </c>
      <c r="D4" s="22" t="s">
        <v>19</v>
      </c>
      <c r="E4" s="23">
        <v>1.0</v>
      </c>
      <c r="F4" s="23">
        <v>0.448062</v>
      </c>
      <c r="H4" s="22" t="s">
        <v>23</v>
      </c>
      <c r="J4" s="25">
        <f>average(F2:F31)</f>
        <v>0.5541571</v>
      </c>
      <c r="K4" s="24">
        <v>0.0</v>
      </c>
      <c r="L4" s="25">
        <f t="shared" ref="L4:L5" si="1">30-K4</f>
        <v>30</v>
      </c>
    </row>
    <row r="5">
      <c r="A5" s="22" t="s">
        <v>18</v>
      </c>
      <c r="B5" s="22" t="s">
        <v>18</v>
      </c>
      <c r="C5" s="22" t="s">
        <v>19</v>
      </c>
      <c r="D5" s="22" t="s">
        <v>19</v>
      </c>
      <c r="E5" s="23">
        <v>1.0</v>
      </c>
      <c r="F5" s="23">
        <v>0.416342</v>
      </c>
      <c r="H5" s="22" t="s">
        <v>24</v>
      </c>
      <c r="J5" s="25">
        <f>average(F86:F113)</f>
        <v>0.5383093214</v>
      </c>
      <c r="K5" s="24">
        <v>2.0</v>
      </c>
      <c r="L5" s="25">
        <f t="shared" si="1"/>
        <v>28</v>
      </c>
    </row>
    <row r="6">
      <c r="A6" s="22" t="s">
        <v>18</v>
      </c>
      <c r="B6" s="22" t="s">
        <v>18</v>
      </c>
      <c r="C6" s="22" t="s">
        <v>19</v>
      </c>
      <c r="D6" s="22" t="s">
        <v>19</v>
      </c>
      <c r="E6" s="23">
        <v>1.0</v>
      </c>
      <c r="F6" s="23">
        <v>0.646202</v>
      </c>
      <c r="H6" s="22" t="s">
        <v>25</v>
      </c>
      <c r="J6" s="25">
        <f>average(J7:J8)</f>
        <v>0.68145348</v>
      </c>
      <c r="K6" s="24">
        <v>7.0</v>
      </c>
      <c r="L6" s="25">
        <f>60-K6</f>
        <v>53</v>
      </c>
    </row>
    <row r="7">
      <c r="A7" s="22" t="s">
        <v>18</v>
      </c>
      <c r="B7" s="22" t="s">
        <v>18</v>
      </c>
      <c r="C7" s="22" t="s">
        <v>19</v>
      </c>
      <c r="D7" s="22" t="s">
        <v>19</v>
      </c>
      <c r="E7" s="23">
        <v>1.0</v>
      </c>
      <c r="F7" s="23">
        <v>0.44722</v>
      </c>
      <c r="H7" s="22" t="s">
        <v>26</v>
      </c>
      <c r="J7" s="25">
        <f>average(F32:F56)</f>
        <v>0.65778236</v>
      </c>
      <c r="K7" s="24">
        <v>5.0</v>
      </c>
      <c r="L7" s="25">
        <f t="shared" ref="L7:L8" si="2">30-K7</f>
        <v>25</v>
      </c>
    </row>
    <row r="8">
      <c r="A8" s="22" t="s">
        <v>18</v>
      </c>
      <c r="B8" s="22" t="s">
        <v>18</v>
      </c>
      <c r="C8" s="22" t="s">
        <v>19</v>
      </c>
      <c r="D8" s="22" t="s">
        <v>19</v>
      </c>
      <c r="E8" s="23">
        <v>1.0</v>
      </c>
      <c r="F8" s="23">
        <v>0.50772</v>
      </c>
      <c r="H8" s="22" t="s">
        <v>27</v>
      </c>
      <c r="J8" s="25">
        <f>average(F56:F85)</f>
        <v>0.7051246</v>
      </c>
      <c r="K8" s="24">
        <v>0.0</v>
      </c>
      <c r="L8" s="25">
        <f t="shared" si="2"/>
        <v>30</v>
      </c>
    </row>
    <row r="9">
      <c r="A9" s="22" t="s">
        <v>18</v>
      </c>
      <c r="B9" s="22" t="s">
        <v>18</v>
      </c>
      <c r="C9" s="22" t="s">
        <v>19</v>
      </c>
      <c r="D9" s="22" t="s">
        <v>19</v>
      </c>
      <c r="E9" s="23">
        <v>1.0</v>
      </c>
      <c r="F9" s="23">
        <v>2.020167</v>
      </c>
      <c r="K9" s="26"/>
    </row>
    <row r="10">
      <c r="A10" s="22" t="s">
        <v>18</v>
      </c>
      <c r="B10" s="22" t="s">
        <v>18</v>
      </c>
      <c r="C10" s="22" t="s">
        <v>19</v>
      </c>
      <c r="D10" s="22" t="s">
        <v>19</v>
      </c>
      <c r="E10" s="23">
        <v>1.0</v>
      </c>
      <c r="F10" s="23">
        <v>0.432119</v>
      </c>
      <c r="I10" s="24" t="s">
        <v>28</v>
      </c>
      <c r="J10" s="24" t="s">
        <v>29</v>
      </c>
      <c r="K10" s="26"/>
    </row>
    <row r="11">
      <c r="A11" s="22" t="s">
        <v>18</v>
      </c>
      <c r="B11" s="22" t="s">
        <v>18</v>
      </c>
      <c r="C11" s="22" t="s">
        <v>19</v>
      </c>
      <c r="D11" s="22" t="s">
        <v>19</v>
      </c>
      <c r="E11" s="23">
        <v>1.0</v>
      </c>
      <c r="F11" s="23">
        <v>0.493499</v>
      </c>
      <c r="H11" s="24" t="s">
        <v>30</v>
      </c>
      <c r="I11" s="25">
        <f>J4</f>
        <v>0.5541571</v>
      </c>
      <c r="J11" s="25">
        <f>J7</f>
        <v>0.65778236</v>
      </c>
      <c r="K11" s="26"/>
    </row>
    <row r="12">
      <c r="A12" s="22" t="s">
        <v>18</v>
      </c>
      <c r="B12" s="22" t="s">
        <v>18</v>
      </c>
      <c r="C12" s="22" t="s">
        <v>19</v>
      </c>
      <c r="D12" s="22" t="s">
        <v>19</v>
      </c>
      <c r="E12" s="23">
        <v>1.0</v>
      </c>
      <c r="F12" s="23">
        <v>0.512422</v>
      </c>
      <c r="H12" s="24" t="s">
        <v>31</v>
      </c>
      <c r="I12" s="25">
        <f>J8</f>
        <v>0.7051246</v>
      </c>
      <c r="J12" s="25">
        <f>J5</f>
        <v>0.5383093214</v>
      </c>
      <c r="K12" s="26"/>
    </row>
    <row r="13">
      <c r="A13" s="22" t="s">
        <v>18</v>
      </c>
      <c r="B13" s="22" t="s">
        <v>18</v>
      </c>
      <c r="C13" s="22" t="s">
        <v>19</v>
      </c>
      <c r="D13" s="22" t="s">
        <v>19</v>
      </c>
      <c r="E13" s="23">
        <v>1.0</v>
      </c>
      <c r="F13" s="23">
        <v>0.38407</v>
      </c>
      <c r="H13" s="26"/>
      <c r="I13" s="26"/>
      <c r="J13" s="26"/>
      <c r="K13" s="26"/>
    </row>
    <row r="14">
      <c r="A14" s="22" t="s">
        <v>18</v>
      </c>
      <c r="B14" s="22" t="s">
        <v>18</v>
      </c>
      <c r="C14" s="22" t="s">
        <v>19</v>
      </c>
      <c r="D14" s="22" t="s">
        <v>19</v>
      </c>
      <c r="E14" s="23">
        <v>1.0</v>
      </c>
      <c r="F14" s="23">
        <v>0.503816</v>
      </c>
      <c r="H14" s="24" t="s">
        <v>32</v>
      </c>
      <c r="K14" s="26"/>
    </row>
    <row r="15">
      <c r="A15" s="22" t="s">
        <v>18</v>
      </c>
      <c r="B15" s="22" t="s">
        <v>18</v>
      </c>
      <c r="C15" s="22" t="s">
        <v>19</v>
      </c>
      <c r="D15" s="22" t="s">
        <v>19</v>
      </c>
      <c r="E15" s="23">
        <v>1.0</v>
      </c>
      <c r="F15" s="23">
        <v>0.649003</v>
      </c>
      <c r="H15" s="22" t="s">
        <v>22</v>
      </c>
      <c r="J15" s="25">
        <f>L3/60*100</f>
        <v>96.66666667</v>
      </c>
      <c r="K15" s="26"/>
    </row>
    <row r="16">
      <c r="A16" s="22" t="s">
        <v>18</v>
      </c>
      <c r="B16" s="22" t="s">
        <v>18</v>
      </c>
      <c r="C16" s="22" t="s">
        <v>19</v>
      </c>
      <c r="D16" s="22" t="s">
        <v>19</v>
      </c>
      <c r="E16" s="23">
        <v>1.0</v>
      </c>
      <c r="F16" s="23">
        <v>0.447364</v>
      </c>
      <c r="H16" s="22" t="s">
        <v>23</v>
      </c>
      <c r="J16" s="25">
        <f t="shared" ref="J16:J17" si="3">L4/30*100</f>
        <v>100</v>
      </c>
      <c r="K16" s="26"/>
    </row>
    <row r="17">
      <c r="A17" s="22" t="s">
        <v>18</v>
      </c>
      <c r="B17" s="22" t="s">
        <v>18</v>
      </c>
      <c r="C17" s="22" t="s">
        <v>19</v>
      </c>
      <c r="D17" s="22" t="s">
        <v>19</v>
      </c>
      <c r="E17" s="23">
        <v>1.0</v>
      </c>
      <c r="F17" s="23">
        <v>0.442108</v>
      </c>
      <c r="H17" s="22" t="s">
        <v>24</v>
      </c>
      <c r="J17" s="24">
        <f t="shared" si="3"/>
        <v>93.33333333</v>
      </c>
      <c r="K17" s="26"/>
    </row>
    <row r="18">
      <c r="A18" s="22" t="s">
        <v>18</v>
      </c>
      <c r="B18" s="22" t="s">
        <v>18</v>
      </c>
      <c r="C18" s="22" t="s">
        <v>19</v>
      </c>
      <c r="D18" s="22" t="s">
        <v>19</v>
      </c>
      <c r="E18" s="23">
        <v>1.0</v>
      </c>
      <c r="F18" s="23">
        <v>0.500501</v>
      </c>
      <c r="H18" s="22" t="s">
        <v>25</v>
      </c>
      <c r="J18" s="25">
        <f>L6/60*100</f>
        <v>88.33333333</v>
      </c>
      <c r="K18" s="26"/>
    </row>
    <row r="19">
      <c r="A19" s="22" t="s">
        <v>18</v>
      </c>
      <c r="B19" s="22" t="s">
        <v>18</v>
      </c>
      <c r="C19" s="22" t="s">
        <v>19</v>
      </c>
      <c r="D19" s="22" t="s">
        <v>19</v>
      </c>
      <c r="E19" s="23">
        <v>1.0</v>
      </c>
      <c r="F19" s="23">
        <v>0.570403</v>
      </c>
      <c r="H19" s="22" t="s">
        <v>26</v>
      </c>
      <c r="J19" s="24">
        <f t="shared" ref="J19:J20" si="4">L7/30*100</f>
        <v>83.33333333</v>
      </c>
      <c r="K19" s="26"/>
    </row>
    <row r="20">
      <c r="A20" s="22" t="s">
        <v>18</v>
      </c>
      <c r="B20" s="22" t="s">
        <v>18</v>
      </c>
      <c r="C20" s="22" t="s">
        <v>19</v>
      </c>
      <c r="D20" s="22" t="s">
        <v>19</v>
      </c>
      <c r="E20" s="23">
        <v>1.0</v>
      </c>
      <c r="F20" s="23">
        <v>0.554334</v>
      </c>
      <c r="H20" s="22" t="s">
        <v>27</v>
      </c>
      <c r="J20" s="24">
        <f t="shared" si="4"/>
        <v>100</v>
      </c>
      <c r="K20" s="26"/>
    </row>
    <row r="21">
      <c r="A21" s="22" t="s">
        <v>18</v>
      </c>
      <c r="B21" s="22" t="s">
        <v>18</v>
      </c>
      <c r="C21" s="22" t="s">
        <v>19</v>
      </c>
      <c r="D21" s="22" t="s">
        <v>19</v>
      </c>
      <c r="E21" s="23">
        <v>1.0</v>
      </c>
      <c r="F21" s="23">
        <v>0.313605</v>
      </c>
    </row>
    <row r="22">
      <c r="A22" s="22" t="s">
        <v>18</v>
      </c>
      <c r="B22" s="22" t="s">
        <v>18</v>
      </c>
      <c r="C22" s="22" t="s">
        <v>19</v>
      </c>
      <c r="D22" s="22" t="s">
        <v>19</v>
      </c>
      <c r="E22" s="23">
        <v>1.0</v>
      </c>
      <c r="F22" s="23">
        <v>0.393301</v>
      </c>
    </row>
    <row r="23">
      <c r="A23" s="22" t="s">
        <v>18</v>
      </c>
      <c r="B23" s="22" t="s">
        <v>18</v>
      </c>
      <c r="C23" s="22" t="s">
        <v>19</v>
      </c>
      <c r="D23" s="22" t="s">
        <v>19</v>
      </c>
      <c r="E23" s="23">
        <v>1.0</v>
      </c>
      <c r="F23" s="23">
        <v>0.656871</v>
      </c>
    </row>
    <row r="24">
      <c r="A24" s="22" t="s">
        <v>18</v>
      </c>
      <c r="B24" s="22" t="s">
        <v>18</v>
      </c>
      <c r="C24" s="22" t="s">
        <v>19</v>
      </c>
      <c r="D24" s="22" t="s">
        <v>19</v>
      </c>
      <c r="E24" s="23">
        <v>1.0</v>
      </c>
      <c r="F24" s="23">
        <v>0.712422</v>
      </c>
    </row>
    <row r="25">
      <c r="A25" s="22" t="s">
        <v>18</v>
      </c>
      <c r="B25" s="22" t="s">
        <v>18</v>
      </c>
      <c r="C25" s="22" t="s">
        <v>19</v>
      </c>
      <c r="D25" s="22" t="s">
        <v>19</v>
      </c>
      <c r="E25" s="23">
        <v>1.0</v>
      </c>
      <c r="F25" s="23">
        <v>0.561284</v>
      </c>
    </row>
    <row r="26">
      <c r="A26" s="22" t="s">
        <v>18</v>
      </c>
      <c r="B26" s="22" t="s">
        <v>18</v>
      </c>
      <c r="C26" s="22" t="s">
        <v>19</v>
      </c>
      <c r="D26" s="22" t="s">
        <v>19</v>
      </c>
      <c r="E26" s="23">
        <v>1.0</v>
      </c>
      <c r="F26" s="23">
        <v>0.527736</v>
      </c>
    </row>
    <row r="27">
      <c r="A27" s="22" t="s">
        <v>18</v>
      </c>
      <c r="B27" s="22" t="s">
        <v>18</v>
      </c>
      <c r="C27" s="22" t="s">
        <v>19</v>
      </c>
      <c r="D27" s="22" t="s">
        <v>19</v>
      </c>
      <c r="E27" s="23">
        <v>1.0</v>
      </c>
      <c r="F27" s="23">
        <v>0.599411</v>
      </c>
    </row>
    <row r="28">
      <c r="A28" s="22" t="s">
        <v>18</v>
      </c>
      <c r="B28" s="22" t="s">
        <v>18</v>
      </c>
      <c r="C28" s="22" t="s">
        <v>19</v>
      </c>
      <c r="D28" s="22" t="s">
        <v>19</v>
      </c>
      <c r="E28" s="23">
        <v>1.0</v>
      </c>
      <c r="F28" s="23">
        <v>0.411849</v>
      </c>
    </row>
    <row r="29">
      <c r="A29" s="22" t="s">
        <v>18</v>
      </c>
      <c r="B29" s="22" t="s">
        <v>18</v>
      </c>
      <c r="C29" s="22" t="s">
        <v>19</v>
      </c>
      <c r="D29" s="22" t="s">
        <v>19</v>
      </c>
      <c r="E29" s="23">
        <v>1.0</v>
      </c>
      <c r="F29" s="23">
        <v>0.62384</v>
      </c>
    </row>
    <row r="30">
      <c r="A30" s="22" t="s">
        <v>18</v>
      </c>
      <c r="B30" s="22" t="s">
        <v>18</v>
      </c>
      <c r="C30" s="22" t="s">
        <v>19</v>
      </c>
      <c r="D30" s="22" t="s">
        <v>19</v>
      </c>
      <c r="E30" s="23">
        <v>1.0</v>
      </c>
      <c r="F30" s="23">
        <v>0.619859</v>
      </c>
    </row>
    <row r="31">
      <c r="A31" s="22" t="s">
        <v>18</v>
      </c>
      <c r="B31" s="22" t="s">
        <v>18</v>
      </c>
      <c r="C31" s="22" t="s">
        <v>19</v>
      </c>
      <c r="D31" s="22" t="s">
        <v>19</v>
      </c>
      <c r="E31" s="23">
        <v>1.0</v>
      </c>
      <c r="F31" s="23">
        <v>0.460802</v>
      </c>
    </row>
    <row r="32">
      <c r="A32" s="22" t="s">
        <v>18</v>
      </c>
      <c r="B32" s="22" t="s">
        <v>33</v>
      </c>
      <c r="C32" s="22" t="s">
        <v>34</v>
      </c>
      <c r="D32" s="22" t="s">
        <v>19</v>
      </c>
      <c r="E32" s="23">
        <v>1.0</v>
      </c>
      <c r="F32" s="23">
        <v>0.44709</v>
      </c>
    </row>
    <row r="33">
      <c r="A33" s="22" t="s">
        <v>18</v>
      </c>
      <c r="B33" s="22" t="s">
        <v>33</v>
      </c>
      <c r="C33" s="22" t="s">
        <v>34</v>
      </c>
      <c r="D33" s="22" t="s">
        <v>19</v>
      </c>
      <c r="E33" s="23">
        <v>1.0</v>
      </c>
      <c r="F33" s="23">
        <v>0.530939</v>
      </c>
    </row>
    <row r="34">
      <c r="A34" s="22" t="s">
        <v>18</v>
      </c>
      <c r="B34" s="22" t="s">
        <v>33</v>
      </c>
      <c r="C34" s="22" t="s">
        <v>34</v>
      </c>
      <c r="D34" s="22" t="s">
        <v>19</v>
      </c>
      <c r="E34" s="23">
        <v>1.0</v>
      </c>
      <c r="F34" s="23">
        <v>0.563337</v>
      </c>
    </row>
    <row r="35">
      <c r="A35" s="22" t="s">
        <v>18</v>
      </c>
      <c r="B35" s="22" t="s">
        <v>33</v>
      </c>
      <c r="C35" s="22" t="s">
        <v>34</v>
      </c>
      <c r="D35" s="22" t="s">
        <v>19</v>
      </c>
      <c r="E35" s="23">
        <v>1.0</v>
      </c>
      <c r="F35" s="23">
        <v>0.565524</v>
      </c>
    </row>
    <row r="36">
      <c r="A36" s="22" t="s">
        <v>18</v>
      </c>
      <c r="B36" s="22" t="s">
        <v>33</v>
      </c>
      <c r="C36" s="22" t="s">
        <v>34</v>
      </c>
      <c r="D36" s="22" t="s">
        <v>19</v>
      </c>
      <c r="E36" s="23">
        <v>1.0</v>
      </c>
      <c r="F36" s="23">
        <v>0.496443</v>
      </c>
    </row>
    <row r="37">
      <c r="A37" s="22" t="s">
        <v>18</v>
      </c>
      <c r="B37" s="22" t="s">
        <v>33</v>
      </c>
      <c r="C37" s="22" t="s">
        <v>34</v>
      </c>
      <c r="D37" s="22" t="s">
        <v>19</v>
      </c>
      <c r="E37" s="23">
        <v>1.0</v>
      </c>
      <c r="F37" s="23">
        <v>2.308761</v>
      </c>
    </row>
    <row r="38">
      <c r="A38" s="22" t="s">
        <v>18</v>
      </c>
      <c r="B38" s="22" t="s">
        <v>33</v>
      </c>
      <c r="C38" s="22" t="s">
        <v>34</v>
      </c>
      <c r="D38" s="22" t="s">
        <v>19</v>
      </c>
      <c r="E38" s="23">
        <v>1.0</v>
      </c>
      <c r="F38" s="23">
        <v>0.503636</v>
      </c>
    </row>
    <row r="39">
      <c r="A39" s="22" t="s">
        <v>18</v>
      </c>
      <c r="B39" s="22" t="s">
        <v>33</v>
      </c>
      <c r="C39" s="22" t="s">
        <v>34</v>
      </c>
      <c r="D39" s="22" t="s">
        <v>19</v>
      </c>
      <c r="E39" s="23">
        <v>1.0</v>
      </c>
      <c r="F39" s="23">
        <v>0.628326</v>
      </c>
    </row>
    <row r="40">
      <c r="A40" s="22" t="s">
        <v>18</v>
      </c>
      <c r="B40" s="22" t="s">
        <v>33</v>
      </c>
      <c r="C40" s="22" t="s">
        <v>34</v>
      </c>
      <c r="D40" s="22" t="s">
        <v>19</v>
      </c>
      <c r="E40" s="23">
        <v>1.0</v>
      </c>
      <c r="F40" s="23">
        <v>0.497302</v>
      </c>
    </row>
    <row r="41">
      <c r="A41" s="22" t="s">
        <v>18</v>
      </c>
      <c r="B41" s="22" t="s">
        <v>33</v>
      </c>
      <c r="C41" s="22" t="s">
        <v>34</v>
      </c>
      <c r="D41" s="22" t="s">
        <v>19</v>
      </c>
      <c r="E41" s="23">
        <v>1.0</v>
      </c>
      <c r="F41" s="23">
        <v>0.815935</v>
      </c>
    </row>
    <row r="42">
      <c r="A42" s="22" t="s">
        <v>18</v>
      </c>
      <c r="B42" s="22" t="s">
        <v>33</v>
      </c>
      <c r="C42" s="22" t="s">
        <v>34</v>
      </c>
      <c r="D42" s="22" t="s">
        <v>19</v>
      </c>
      <c r="E42" s="23">
        <v>1.0</v>
      </c>
      <c r="F42" s="23">
        <v>0.439049</v>
      </c>
    </row>
    <row r="43">
      <c r="A43" s="22" t="s">
        <v>18</v>
      </c>
      <c r="B43" s="22" t="s">
        <v>33</v>
      </c>
      <c r="C43" s="22" t="s">
        <v>34</v>
      </c>
      <c r="D43" s="22" t="s">
        <v>19</v>
      </c>
      <c r="E43" s="23">
        <v>1.0</v>
      </c>
      <c r="F43" s="23">
        <v>0.551915</v>
      </c>
    </row>
    <row r="44">
      <c r="A44" s="22" t="s">
        <v>18</v>
      </c>
      <c r="B44" s="22" t="s">
        <v>33</v>
      </c>
      <c r="C44" s="22" t="s">
        <v>34</v>
      </c>
      <c r="D44" s="22" t="s">
        <v>19</v>
      </c>
      <c r="E44" s="23">
        <v>1.0</v>
      </c>
      <c r="F44" s="23">
        <v>0.634527</v>
      </c>
    </row>
    <row r="45">
      <c r="A45" s="22" t="s">
        <v>18</v>
      </c>
      <c r="B45" s="22" t="s">
        <v>33</v>
      </c>
      <c r="C45" s="22" t="s">
        <v>34</v>
      </c>
      <c r="D45" s="22" t="s">
        <v>19</v>
      </c>
      <c r="E45" s="23">
        <v>1.0</v>
      </c>
      <c r="F45" s="23">
        <v>0.831378</v>
      </c>
    </row>
    <row r="46">
      <c r="A46" s="22" t="s">
        <v>18</v>
      </c>
      <c r="B46" s="22" t="s">
        <v>33</v>
      </c>
      <c r="C46" s="22" t="s">
        <v>34</v>
      </c>
      <c r="D46" s="22" t="s">
        <v>19</v>
      </c>
      <c r="E46" s="23">
        <v>1.0</v>
      </c>
      <c r="F46" s="23">
        <v>0.493916</v>
      </c>
    </row>
    <row r="47">
      <c r="A47" s="22" t="s">
        <v>18</v>
      </c>
      <c r="B47" s="22" t="s">
        <v>33</v>
      </c>
      <c r="C47" s="22" t="s">
        <v>34</v>
      </c>
      <c r="D47" s="22" t="s">
        <v>19</v>
      </c>
      <c r="E47" s="23">
        <v>1.0</v>
      </c>
      <c r="F47" s="23">
        <v>0.586753</v>
      </c>
    </row>
    <row r="48">
      <c r="A48" s="22" t="s">
        <v>18</v>
      </c>
      <c r="B48" s="22" t="s">
        <v>33</v>
      </c>
      <c r="C48" s="22" t="s">
        <v>34</v>
      </c>
      <c r="D48" s="22" t="s">
        <v>19</v>
      </c>
      <c r="E48" s="23">
        <v>1.0</v>
      </c>
      <c r="F48" s="23">
        <v>0.53475</v>
      </c>
    </row>
    <row r="49">
      <c r="A49" s="22" t="s">
        <v>18</v>
      </c>
      <c r="B49" s="22" t="s">
        <v>33</v>
      </c>
      <c r="C49" s="22" t="s">
        <v>34</v>
      </c>
      <c r="D49" s="22" t="s">
        <v>19</v>
      </c>
      <c r="E49" s="23">
        <v>1.0</v>
      </c>
      <c r="F49" s="23">
        <v>0.676029</v>
      </c>
    </row>
    <row r="50">
      <c r="A50" s="22" t="s">
        <v>18</v>
      </c>
      <c r="B50" s="22" t="s">
        <v>33</v>
      </c>
      <c r="C50" s="22" t="s">
        <v>34</v>
      </c>
      <c r="D50" s="22" t="s">
        <v>19</v>
      </c>
      <c r="E50" s="23">
        <v>1.0</v>
      </c>
      <c r="F50" s="23">
        <v>0.537454</v>
      </c>
    </row>
    <row r="51">
      <c r="A51" s="22" t="s">
        <v>18</v>
      </c>
      <c r="B51" s="22" t="s">
        <v>33</v>
      </c>
      <c r="C51" s="22" t="s">
        <v>34</v>
      </c>
      <c r="D51" s="22" t="s">
        <v>19</v>
      </c>
      <c r="E51" s="23">
        <v>1.0</v>
      </c>
      <c r="F51" s="23">
        <v>0.762499</v>
      </c>
    </row>
    <row r="52">
      <c r="A52" s="22" t="s">
        <v>18</v>
      </c>
      <c r="B52" s="22" t="s">
        <v>33</v>
      </c>
      <c r="C52" s="22" t="s">
        <v>34</v>
      </c>
      <c r="D52" s="22" t="s">
        <v>19</v>
      </c>
      <c r="E52" s="23">
        <v>1.0</v>
      </c>
      <c r="F52" s="23">
        <v>0.463925</v>
      </c>
    </row>
    <row r="53">
      <c r="A53" s="22" t="s">
        <v>18</v>
      </c>
      <c r="B53" s="22" t="s">
        <v>33</v>
      </c>
      <c r="C53" s="22" t="s">
        <v>34</v>
      </c>
      <c r="D53" s="22" t="s">
        <v>19</v>
      </c>
      <c r="E53" s="23">
        <v>1.0</v>
      </c>
      <c r="F53" s="23">
        <v>0.839079</v>
      </c>
    </row>
    <row r="54">
      <c r="A54" s="22" t="s">
        <v>18</v>
      </c>
      <c r="B54" s="22" t="s">
        <v>33</v>
      </c>
      <c r="C54" s="22" t="s">
        <v>34</v>
      </c>
      <c r="D54" s="22" t="s">
        <v>19</v>
      </c>
      <c r="E54" s="23">
        <v>1.0</v>
      </c>
      <c r="F54" s="23">
        <v>0.467245</v>
      </c>
    </row>
    <row r="55">
      <c r="A55" s="22" t="s">
        <v>18</v>
      </c>
      <c r="B55" s="22" t="s">
        <v>33</v>
      </c>
      <c r="C55" s="22" t="s">
        <v>34</v>
      </c>
      <c r="D55" s="22" t="s">
        <v>19</v>
      </c>
      <c r="E55" s="23">
        <v>1.0</v>
      </c>
      <c r="F55" s="23">
        <v>0.549478</v>
      </c>
    </row>
    <row r="56">
      <c r="A56" s="22" t="s">
        <v>18</v>
      </c>
      <c r="B56" s="22" t="s">
        <v>33</v>
      </c>
      <c r="C56" s="22" t="s">
        <v>34</v>
      </c>
      <c r="D56" s="22" t="s">
        <v>19</v>
      </c>
      <c r="E56" s="23">
        <v>1.0</v>
      </c>
      <c r="F56" s="23">
        <v>0.719269</v>
      </c>
    </row>
    <row r="57">
      <c r="A57" s="22" t="s">
        <v>33</v>
      </c>
      <c r="B57" s="22" t="s">
        <v>18</v>
      </c>
      <c r="C57" s="22" t="s">
        <v>34</v>
      </c>
      <c r="D57" s="22" t="s">
        <v>19</v>
      </c>
      <c r="E57" s="23">
        <v>1.0</v>
      </c>
      <c r="F57" s="23">
        <v>0.50982</v>
      </c>
    </row>
    <row r="58">
      <c r="A58" s="22" t="s">
        <v>33</v>
      </c>
      <c r="B58" s="22" t="s">
        <v>18</v>
      </c>
      <c r="C58" s="22" t="s">
        <v>34</v>
      </c>
      <c r="D58" s="22" t="s">
        <v>19</v>
      </c>
      <c r="E58" s="23">
        <v>1.0</v>
      </c>
      <c r="F58" s="23">
        <v>0.501873</v>
      </c>
    </row>
    <row r="59">
      <c r="A59" s="22" t="s">
        <v>33</v>
      </c>
      <c r="B59" s="22" t="s">
        <v>18</v>
      </c>
      <c r="C59" s="22" t="s">
        <v>34</v>
      </c>
      <c r="D59" s="22" t="s">
        <v>19</v>
      </c>
      <c r="E59" s="23">
        <v>1.0</v>
      </c>
      <c r="F59" s="23">
        <v>0.498114</v>
      </c>
    </row>
    <row r="60">
      <c r="A60" s="22" t="s">
        <v>33</v>
      </c>
      <c r="B60" s="22" t="s">
        <v>18</v>
      </c>
      <c r="C60" s="22" t="s">
        <v>34</v>
      </c>
      <c r="D60" s="22" t="s">
        <v>19</v>
      </c>
      <c r="E60" s="23">
        <v>1.0</v>
      </c>
      <c r="F60" s="23">
        <v>0.551855</v>
      </c>
    </row>
    <row r="61">
      <c r="A61" s="22" t="s">
        <v>33</v>
      </c>
      <c r="B61" s="22" t="s">
        <v>18</v>
      </c>
      <c r="C61" s="22" t="s">
        <v>34</v>
      </c>
      <c r="D61" s="22" t="s">
        <v>19</v>
      </c>
      <c r="E61" s="23">
        <v>1.0</v>
      </c>
      <c r="F61" s="23">
        <v>0.566529</v>
      </c>
    </row>
    <row r="62">
      <c r="A62" s="22" t="s">
        <v>33</v>
      </c>
      <c r="B62" s="22" t="s">
        <v>18</v>
      </c>
      <c r="C62" s="22" t="s">
        <v>34</v>
      </c>
      <c r="D62" s="22" t="s">
        <v>19</v>
      </c>
      <c r="E62" s="23">
        <v>1.0</v>
      </c>
      <c r="F62" s="23">
        <v>0.556739</v>
      </c>
    </row>
    <row r="63">
      <c r="A63" s="22" t="s">
        <v>33</v>
      </c>
      <c r="B63" s="22" t="s">
        <v>18</v>
      </c>
      <c r="C63" s="22" t="s">
        <v>34</v>
      </c>
      <c r="D63" s="22" t="s">
        <v>19</v>
      </c>
      <c r="E63" s="23">
        <v>1.0</v>
      </c>
      <c r="F63" s="23">
        <v>0.468343</v>
      </c>
    </row>
    <row r="64">
      <c r="A64" s="22" t="s">
        <v>33</v>
      </c>
      <c r="B64" s="22" t="s">
        <v>18</v>
      </c>
      <c r="C64" s="22" t="s">
        <v>34</v>
      </c>
      <c r="D64" s="22" t="s">
        <v>19</v>
      </c>
      <c r="E64" s="23">
        <v>1.0</v>
      </c>
      <c r="F64" s="23">
        <v>0.534553</v>
      </c>
    </row>
    <row r="65">
      <c r="A65" s="22" t="s">
        <v>33</v>
      </c>
      <c r="B65" s="22" t="s">
        <v>18</v>
      </c>
      <c r="C65" s="22" t="s">
        <v>34</v>
      </c>
      <c r="D65" s="22" t="s">
        <v>19</v>
      </c>
      <c r="E65" s="23">
        <v>1.0</v>
      </c>
      <c r="F65" s="23">
        <v>0.753663</v>
      </c>
    </row>
    <row r="66">
      <c r="A66" s="22" t="s">
        <v>33</v>
      </c>
      <c r="B66" s="22" t="s">
        <v>18</v>
      </c>
      <c r="C66" s="22" t="s">
        <v>34</v>
      </c>
      <c r="D66" s="22" t="s">
        <v>19</v>
      </c>
      <c r="E66" s="23">
        <v>1.0</v>
      </c>
      <c r="F66" s="23">
        <v>0.598338</v>
      </c>
    </row>
    <row r="67">
      <c r="A67" s="22" t="s">
        <v>33</v>
      </c>
      <c r="B67" s="22" t="s">
        <v>18</v>
      </c>
      <c r="C67" s="22" t="s">
        <v>34</v>
      </c>
      <c r="D67" s="22" t="s">
        <v>19</v>
      </c>
      <c r="E67" s="23">
        <v>1.0</v>
      </c>
      <c r="F67" s="23">
        <v>0.478847</v>
      </c>
    </row>
    <row r="68">
      <c r="A68" s="22" t="s">
        <v>33</v>
      </c>
      <c r="B68" s="22" t="s">
        <v>18</v>
      </c>
      <c r="C68" s="22" t="s">
        <v>34</v>
      </c>
      <c r="D68" s="22" t="s">
        <v>19</v>
      </c>
      <c r="E68" s="23">
        <v>1.0</v>
      </c>
      <c r="F68" s="23">
        <v>0.583014</v>
      </c>
    </row>
    <row r="69">
      <c r="A69" s="22" t="s">
        <v>33</v>
      </c>
      <c r="B69" s="22" t="s">
        <v>18</v>
      </c>
      <c r="C69" s="22" t="s">
        <v>34</v>
      </c>
      <c r="D69" s="22" t="s">
        <v>19</v>
      </c>
      <c r="E69" s="23">
        <v>1.0</v>
      </c>
      <c r="F69" s="23">
        <v>0.511368</v>
      </c>
    </row>
    <row r="70">
      <c r="A70" s="22" t="s">
        <v>33</v>
      </c>
      <c r="B70" s="22" t="s">
        <v>18</v>
      </c>
      <c r="C70" s="22" t="s">
        <v>34</v>
      </c>
      <c r="D70" s="22" t="s">
        <v>19</v>
      </c>
      <c r="E70" s="23">
        <v>1.0</v>
      </c>
      <c r="F70" s="23">
        <v>0.514003</v>
      </c>
    </row>
    <row r="71">
      <c r="A71" s="22" t="s">
        <v>33</v>
      </c>
      <c r="B71" s="22" t="s">
        <v>18</v>
      </c>
      <c r="C71" s="22" t="s">
        <v>34</v>
      </c>
      <c r="D71" s="22" t="s">
        <v>19</v>
      </c>
      <c r="E71" s="23">
        <v>1.0</v>
      </c>
      <c r="F71" s="23">
        <v>0.543353</v>
      </c>
    </row>
    <row r="72">
      <c r="A72" s="22" t="s">
        <v>33</v>
      </c>
      <c r="B72" s="22" t="s">
        <v>18</v>
      </c>
      <c r="C72" s="22" t="s">
        <v>34</v>
      </c>
      <c r="D72" s="22" t="s">
        <v>19</v>
      </c>
      <c r="E72" s="23">
        <v>1.0</v>
      </c>
      <c r="F72" s="23">
        <v>0.467532</v>
      </c>
    </row>
    <row r="73">
      <c r="A73" s="22" t="s">
        <v>33</v>
      </c>
      <c r="B73" s="22" t="s">
        <v>18</v>
      </c>
      <c r="C73" s="22" t="s">
        <v>34</v>
      </c>
      <c r="D73" s="22" t="s">
        <v>19</v>
      </c>
      <c r="E73" s="23">
        <v>1.0</v>
      </c>
      <c r="F73" s="23">
        <v>0.592335</v>
      </c>
    </row>
    <row r="74">
      <c r="A74" s="22" t="s">
        <v>33</v>
      </c>
      <c r="B74" s="22" t="s">
        <v>18</v>
      </c>
      <c r="C74" s="22" t="s">
        <v>34</v>
      </c>
      <c r="D74" s="22" t="s">
        <v>19</v>
      </c>
      <c r="E74" s="23">
        <v>1.0</v>
      </c>
      <c r="F74" s="23">
        <v>0.479985</v>
      </c>
    </row>
    <row r="75">
      <c r="A75" s="22" t="s">
        <v>33</v>
      </c>
      <c r="B75" s="22" t="s">
        <v>18</v>
      </c>
      <c r="C75" s="22" t="s">
        <v>34</v>
      </c>
      <c r="D75" s="22" t="s">
        <v>19</v>
      </c>
      <c r="E75" s="23">
        <v>1.0</v>
      </c>
      <c r="F75" s="23">
        <v>0.509855</v>
      </c>
    </row>
    <row r="76">
      <c r="A76" s="22" t="s">
        <v>33</v>
      </c>
      <c r="B76" s="22" t="s">
        <v>18</v>
      </c>
      <c r="C76" s="22" t="s">
        <v>34</v>
      </c>
      <c r="D76" s="22" t="s">
        <v>19</v>
      </c>
      <c r="E76" s="23">
        <v>1.0</v>
      </c>
      <c r="F76" s="23">
        <v>0.439461</v>
      </c>
    </row>
    <row r="77">
      <c r="A77" s="22" t="s">
        <v>33</v>
      </c>
      <c r="B77" s="22" t="s">
        <v>18</v>
      </c>
      <c r="C77" s="22" t="s">
        <v>34</v>
      </c>
      <c r="D77" s="22" t="s">
        <v>19</v>
      </c>
      <c r="E77" s="23">
        <v>1.0</v>
      </c>
      <c r="F77" s="23">
        <v>1.095156</v>
      </c>
    </row>
    <row r="78">
      <c r="A78" s="22" t="s">
        <v>33</v>
      </c>
      <c r="B78" s="22" t="s">
        <v>18</v>
      </c>
      <c r="C78" s="22" t="s">
        <v>34</v>
      </c>
      <c r="D78" s="22" t="s">
        <v>19</v>
      </c>
      <c r="E78" s="23">
        <v>1.0</v>
      </c>
      <c r="F78" s="23">
        <v>0.497524</v>
      </c>
    </row>
    <row r="79">
      <c r="A79" s="22" t="s">
        <v>33</v>
      </c>
      <c r="B79" s="22" t="s">
        <v>18</v>
      </c>
      <c r="C79" s="22" t="s">
        <v>34</v>
      </c>
      <c r="D79" s="22" t="s">
        <v>19</v>
      </c>
      <c r="E79" s="23">
        <v>1.0</v>
      </c>
      <c r="F79" s="23">
        <v>0.799071</v>
      </c>
    </row>
    <row r="80">
      <c r="A80" s="22" t="s">
        <v>33</v>
      </c>
      <c r="B80" s="22" t="s">
        <v>18</v>
      </c>
      <c r="C80" s="22" t="s">
        <v>34</v>
      </c>
      <c r="D80" s="22" t="s">
        <v>19</v>
      </c>
      <c r="E80" s="23">
        <v>1.0</v>
      </c>
      <c r="F80" s="23">
        <v>0.993279</v>
      </c>
    </row>
    <row r="81">
      <c r="A81" s="22" t="s">
        <v>33</v>
      </c>
      <c r="B81" s="22" t="s">
        <v>18</v>
      </c>
      <c r="C81" s="22" t="s">
        <v>34</v>
      </c>
      <c r="D81" s="22" t="s">
        <v>19</v>
      </c>
      <c r="E81" s="23">
        <v>1.0</v>
      </c>
      <c r="F81" s="23">
        <v>0.713865</v>
      </c>
    </row>
    <row r="82">
      <c r="A82" s="22" t="s">
        <v>33</v>
      </c>
      <c r="B82" s="22" t="s">
        <v>18</v>
      </c>
      <c r="C82" s="22" t="s">
        <v>34</v>
      </c>
      <c r="D82" s="22" t="s">
        <v>19</v>
      </c>
      <c r="E82" s="23">
        <v>1.0</v>
      </c>
      <c r="F82" s="23">
        <v>0.474854</v>
      </c>
    </row>
    <row r="83">
      <c r="A83" s="22" t="s">
        <v>33</v>
      </c>
      <c r="B83" s="22" t="s">
        <v>18</v>
      </c>
      <c r="C83" s="22" t="s">
        <v>34</v>
      </c>
      <c r="D83" s="22" t="s">
        <v>19</v>
      </c>
      <c r="E83" s="23">
        <v>1.0</v>
      </c>
      <c r="F83" s="23">
        <v>4.180749</v>
      </c>
    </row>
    <row r="84">
      <c r="A84" s="22" t="s">
        <v>33</v>
      </c>
      <c r="B84" s="22" t="s">
        <v>18</v>
      </c>
      <c r="C84" s="22" t="s">
        <v>34</v>
      </c>
      <c r="D84" s="22" t="s">
        <v>19</v>
      </c>
      <c r="E84" s="23">
        <v>1.0</v>
      </c>
      <c r="F84" s="23">
        <v>0.425494</v>
      </c>
    </row>
    <row r="85">
      <c r="A85" s="22" t="s">
        <v>33</v>
      </c>
      <c r="B85" s="22" t="s">
        <v>18</v>
      </c>
      <c r="C85" s="22" t="s">
        <v>34</v>
      </c>
      <c r="D85" s="22" t="s">
        <v>19</v>
      </c>
      <c r="E85" s="23">
        <v>1.0</v>
      </c>
      <c r="F85" s="23">
        <v>0.594897</v>
      </c>
    </row>
    <row r="86">
      <c r="A86" s="22" t="s">
        <v>33</v>
      </c>
      <c r="B86" s="22" t="s">
        <v>33</v>
      </c>
      <c r="C86" s="22" t="s">
        <v>19</v>
      </c>
      <c r="D86" s="22" t="s">
        <v>19</v>
      </c>
      <c r="E86" s="23">
        <v>1.0</v>
      </c>
      <c r="F86" s="23">
        <v>0.550788</v>
      </c>
    </row>
    <row r="87">
      <c r="A87" s="22" t="s">
        <v>33</v>
      </c>
      <c r="B87" s="22" t="s">
        <v>33</v>
      </c>
      <c r="C87" s="22" t="s">
        <v>19</v>
      </c>
      <c r="D87" s="22" t="s">
        <v>19</v>
      </c>
      <c r="E87" s="23">
        <v>1.0</v>
      </c>
      <c r="F87" s="23">
        <v>0.450776</v>
      </c>
    </row>
    <row r="88">
      <c r="A88" s="22" t="s">
        <v>33</v>
      </c>
      <c r="B88" s="22" t="s">
        <v>33</v>
      </c>
      <c r="C88" s="22" t="s">
        <v>19</v>
      </c>
      <c r="D88" s="22" t="s">
        <v>19</v>
      </c>
      <c r="E88" s="23">
        <v>1.0</v>
      </c>
      <c r="F88" s="23">
        <v>0.40125</v>
      </c>
    </row>
    <row r="89">
      <c r="A89" s="22" t="s">
        <v>33</v>
      </c>
      <c r="B89" s="22" t="s">
        <v>33</v>
      </c>
      <c r="C89" s="22" t="s">
        <v>19</v>
      </c>
      <c r="D89" s="22" t="s">
        <v>19</v>
      </c>
      <c r="E89" s="23">
        <v>1.0</v>
      </c>
      <c r="F89" s="23">
        <v>0.38004</v>
      </c>
    </row>
    <row r="90">
      <c r="A90" s="22" t="s">
        <v>33</v>
      </c>
      <c r="B90" s="22" t="s">
        <v>33</v>
      </c>
      <c r="C90" s="22" t="s">
        <v>19</v>
      </c>
      <c r="D90" s="22" t="s">
        <v>19</v>
      </c>
      <c r="E90" s="23">
        <v>1.0</v>
      </c>
      <c r="F90" s="23">
        <v>0.797473</v>
      </c>
    </row>
    <row r="91">
      <c r="A91" s="22" t="s">
        <v>33</v>
      </c>
      <c r="B91" s="22" t="s">
        <v>33</v>
      </c>
      <c r="C91" s="22" t="s">
        <v>19</v>
      </c>
      <c r="D91" s="22" t="s">
        <v>19</v>
      </c>
      <c r="E91" s="23">
        <v>1.0</v>
      </c>
      <c r="F91" s="23">
        <v>0.423606</v>
      </c>
    </row>
    <row r="92">
      <c r="A92" s="22" t="s">
        <v>33</v>
      </c>
      <c r="B92" s="22" t="s">
        <v>33</v>
      </c>
      <c r="C92" s="22" t="s">
        <v>19</v>
      </c>
      <c r="D92" s="22" t="s">
        <v>19</v>
      </c>
      <c r="E92" s="23">
        <v>1.0</v>
      </c>
      <c r="F92" s="23">
        <v>0.526103</v>
      </c>
    </row>
    <row r="93">
      <c r="A93" s="22" t="s">
        <v>33</v>
      </c>
      <c r="B93" s="22" t="s">
        <v>33</v>
      </c>
      <c r="C93" s="22" t="s">
        <v>19</v>
      </c>
      <c r="D93" s="22" t="s">
        <v>19</v>
      </c>
      <c r="E93" s="23">
        <v>1.0</v>
      </c>
      <c r="F93" s="23">
        <v>0.468479</v>
      </c>
    </row>
    <row r="94">
      <c r="A94" s="22" t="s">
        <v>33</v>
      </c>
      <c r="B94" s="22" t="s">
        <v>33</v>
      </c>
      <c r="C94" s="22" t="s">
        <v>19</v>
      </c>
      <c r="D94" s="22" t="s">
        <v>19</v>
      </c>
      <c r="E94" s="23">
        <v>1.0</v>
      </c>
      <c r="F94" s="23">
        <v>0.356418</v>
      </c>
    </row>
    <row r="95">
      <c r="A95" s="22" t="s">
        <v>33</v>
      </c>
      <c r="B95" s="22" t="s">
        <v>33</v>
      </c>
      <c r="C95" s="22" t="s">
        <v>19</v>
      </c>
      <c r="D95" s="22" t="s">
        <v>19</v>
      </c>
      <c r="E95" s="23">
        <v>1.0</v>
      </c>
      <c r="F95" s="23">
        <v>0.377765</v>
      </c>
    </row>
    <row r="96">
      <c r="A96" s="22" t="s">
        <v>33</v>
      </c>
      <c r="B96" s="22" t="s">
        <v>33</v>
      </c>
      <c r="C96" s="22" t="s">
        <v>19</v>
      </c>
      <c r="D96" s="22" t="s">
        <v>19</v>
      </c>
      <c r="E96" s="23">
        <v>1.0</v>
      </c>
      <c r="F96" s="23">
        <v>0.459983</v>
      </c>
    </row>
    <row r="97">
      <c r="A97" s="22" t="s">
        <v>33</v>
      </c>
      <c r="B97" s="22" t="s">
        <v>33</v>
      </c>
      <c r="C97" s="22" t="s">
        <v>19</v>
      </c>
      <c r="D97" s="22" t="s">
        <v>19</v>
      </c>
      <c r="E97" s="23">
        <v>1.0</v>
      </c>
      <c r="F97" s="23">
        <v>1.152863</v>
      </c>
    </row>
    <row r="98">
      <c r="A98" s="22" t="s">
        <v>33</v>
      </c>
      <c r="B98" s="22" t="s">
        <v>33</v>
      </c>
      <c r="C98" s="22" t="s">
        <v>19</v>
      </c>
      <c r="D98" s="22" t="s">
        <v>19</v>
      </c>
      <c r="E98" s="23">
        <v>1.0</v>
      </c>
      <c r="F98" s="23">
        <v>0.466154</v>
      </c>
    </row>
    <row r="99">
      <c r="A99" s="22" t="s">
        <v>33</v>
      </c>
      <c r="B99" s="22" t="s">
        <v>33</v>
      </c>
      <c r="C99" s="22" t="s">
        <v>19</v>
      </c>
      <c r="D99" s="22" t="s">
        <v>19</v>
      </c>
      <c r="E99" s="23">
        <v>1.0</v>
      </c>
      <c r="F99" s="23">
        <v>0.443309</v>
      </c>
    </row>
    <row r="100">
      <c r="A100" s="22" t="s">
        <v>33</v>
      </c>
      <c r="B100" s="22" t="s">
        <v>33</v>
      </c>
      <c r="C100" s="22" t="s">
        <v>19</v>
      </c>
      <c r="D100" s="22" t="s">
        <v>19</v>
      </c>
      <c r="E100" s="23">
        <v>1.0</v>
      </c>
      <c r="F100" s="23">
        <v>0.531861</v>
      </c>
    </row>
    <row r="101">
      <c r="A101" s="22" t="s">
        <v>33</v>
      </c>
      <c r="B101" s="22" t="s">
        <v>33</v>
      </c>
      <c r="C101" s="22" t="s">
        <v>19</v>
      </c>
      <c r="D101" s="22" t="s">
        <v>19</v>
      </c>
      <c r="E101" s="23">
        <v>1.0</v>
      </c>
      <c r="F101" s="23">
        <v>0.560649</v>
      </c>
    </row>
    <row r="102">
      <c r="A102" s="22" t="s">
        <v>33</v>
      </c>
      <c r="B102" s="22" t="s">
        <v>33</v>
      </c>
      <c r="C102" s="22" t="s">
        <v>19</v>
      </c>
      <c r="D102" s="22" t="s">
        <v>19</v>
      </c>
      <c r="E102" s="23">
        <v>1.0</v>
      </c>
      <c r="F102" s="23">
        <v>0.526721</v>
      </c>
    </row>
    <row r="103">
      <c r="A103" s="22" t="s">
        <v>33</v>
      </c>
      <c r="B103" s="22" t="s">
        <v>33</v>
      </c>
      <c r="C103" s="22" t="s">
        <v>19</v>
      </c>
      <c r="D103" s="22" t="s">
        <v>19</v>
      </c>
      <c r="E103" s="23">
        <v>1.0</v>
      </c>
      <c r="F103" s="23">
        <v>0.360374</v>
      </c>
    </row>
    <row r="104">
      <c r="A104" s="22" t="s">
        <v>33</v>
      </c>
      <c r="B104" s="22" t="s">
        <v>33</v>
      </c>
      <c r="C104" s="22" t="s">
        <v>19</v>
      </c>
      <c r="D104" s="22" t="s">
        <v>19</v>
      </c>
      <c r="E104" s="23">
        <v>1.0</v>
      </c>
      <c r="F104" s="23">
        <v>0.356146</v>
      </c>
    </row>
    <row r="105">
      <c r="A105" s="22" t="s">
        <v>33</v>
      </c>
      <c r="B105" s="22" t="s">
        <v>33</v>
      </c>
      <c r="C105" s="22" t="s">
        <v>19</v>
      </c>
      <c r="D105" s="22" t="s">
        <v>19</v>
      </c>
      <c r="E105" s="23">
        <v>1.0</v>
      </c>
      <c r="F105" s="23">
        <v>0.376394</v>
      </c>
    </row>
    <row r="106">
      <c r="A106" s="22" t="s">
        <v>33</v>
      </c>
      <c r="B106" s="22" t="s">
        <v>33</v>
      </c>
      <c r="C106" s="22" t="s">
        <v>19</v>
      </c>
      <c r="D106" s="22" t="s">
        <v>19</v>
      </c>
      <c r="E106" s="23">
        <v>1.0</v>
      </c>
      <c r="F106" s="23">
        <v>0.664397</v>
      </c>
    </row>
    <row r="107">
      <c r="A107" s="22" t="s">
        <v>33</v>
      </c>
      <c r="B107" s="22" t="s">
        <v>33</v>
      </c>
      <c r="C107" s="22" t="s">
        <v>19</v>
      </c>
      <c r="D107" s="22" t="s">
        <v>19</v>
      </c>
      <c r="E107" s="23">
        <v>1.0</v>
      </c>
      <c r="F107" s="23">
        <v>0.37753</v>
      </c>
    </row>
    <row r="108">
      <c r="A108" s="22" t="s">
        <v>33</v>
      </c>
      <c r="B108" s="22" t="s">
        <v>33</v>
      </c>
      <c r="C108" s="22" t="s">
        <v>19</v>
      </c>
      <c r="D108" s="22" t="s">
        <v>19</v>
      </c>
      <c r="E108" s="23">
        <v>1.0</v>
      </c>
      <c r="F108" s="23">
        <v>0.615938</v>
      </c>
    </row>
    <row r="109">
      <c r="A109" s="22" t="s">
        <v>33</v>
      </c>
      <c r="B109" s="22" t="s">
        <v>33</v>
      </c>
      <c r="C109" s="22" t="s">
        <v>19</v>
      </c>
      <c r="D109" s="22" t="s">
        <v>19</v>
      </c>
      <c r="E109" s="23">
        <v>1.0</v>
      </c>
      <c r="F109" s="23">
        <v>1.129324</v>
      </c>
    </row>
    <row r="110">
      <c r="A110" s="22" t="s">
        <v>33</v>
      </c>
      <c r="B110" s="22" t="s">
        <v>33</v>
      </c>
      <c r="C110" s="22" t="s">
        <v>19</v>
      </c>
      <c r="D110" s="22" t="s">
        <v>19</v>
      </c>
      <c r="E110" s="23">
        <v>1.0</v>
      </c>
      <c r="F110" s="23">
        <v>0.441477</v>
      </c>
    </row>
    <row r="111">
      <c r="A111" s="22" t="s">
        <v>33</v>
      </c>
      <c r="B111" s="22" t="s">
        <v>33</v>
      </c>
      <c r="C111" s="22" t="s">
        <v>19</v>
      </c>
      <c r="D111" s="22" t="s">
        <v>19</v>
      </c>
      <c r="E111" s="23">
        <v>1.0</v>
      </c>
      <c r="F111" s="23">
        <v>0.413572</v>
      </c>
    </row>
    <row r="112">
      <c r="A112" s="22" t="s">
        <v>33</v>
      </c>
      <c r="B112" s="22" t="s">
        <v>33</v>
      </c>
      <c r="C112" s="22" t="s">
        <v>19</v>
      </c>
      <c r="D112" s="22" t="s">
        <v>19</v>
      </c>
      <c r="E112" s="23">
        <v>1.0</v>
      </c>
      <c r="F112" s="23">
        <v>0.588227</v>
      </c>
    </row>
    <row r="113">
      <c r="A113" s="22" t="s">
        <v>33</v>
      </c>
      <c r="B113" s="22" t="s">
        <v>33</v>
      </c>
      <c r="C113" s="22" t="s">
        <v>19</v>
      </c>
      <c r="D113" s="22" t="s">
        <v>19</v>
      </c>
      <c r="E113" s="23">
        <v>1.0</v>
      </c>
      <c r="F113" s="23">
        <v>0.875044</v>
      </c>
    </row>
    <row r="114">
      <c r="A114" s="26"/>
      <c r="B114" s="26"/>
      <c r="C114" s="26"/>
      <c r="D114" s="26"/>
      <c r="E114" s="26"/>
      <c r="F114" s="26"/>
    </row>
  </sheetData>
  <autoFilter ref="$A$1:$F$113">
    <sortState ref="A1:F113">
      <sortCondition ref="A1:A113"/>
      <sortCondition ref="B1:B113"/>
      <sortCondition ref="C1:C113"/>
    </sortState>
  </autoFilter>
  <mergeCells count="12">
    <mergeCell ref="H6:I6"/>
    <mergeCell ref="H7:I7"/>
    <mergeCell ref="H17:I17"/>
    <mergeCell ref="H16:I16"/>
    <mergeCell ref="H18:I18"/>
    <mergeCell ref="H19:I19"/>
    <mergeCell ref="H20:I20"/>
    <mergeCell ref="H3:I3"/>
    <mergeCell ref="H4:I4"/>
    <mergeCell ref="H5:I5"/>
    <mergeCell ref="H8:I8"/>
    <mergeCell ref="H15:I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34</v>
      </c>
      <c r="D2" s="22" t="s">
        <v>34</v>
      </c>
      <c r="E2" s="23">
        <v>1.0</v>
      </c>
      <c r="F2" s="23">
        <v>2.766428</v>
      </c>
      <c r="J2" s="24" t="s">
        <v>35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34</v>
      </c>
      <c r="D3" s="22" t="s">
        <v>34</v>
      </c>
      <c r="E3" s="23">
        <v>1.0</v>
      </c>
      <c r="F3" s="23">
        <v>0.616744</v>
      </c>
      <c r="H3" s="22" t="s">
        <v>22</v>
      </c>
      <c r="J3" s="25">
        <f>average(J4:J5)</f>
        <v>1.023874897</v>
      </c>
      <c r="K3" s="24">
        <v>3.0</v>
      </c>
      <c r="L3" s="25">
        <f>60-K3</f>
        <v>57</v>
      </c>
    </row>
    <row r="4">
      <c r="A4" s="22" t="s">
        <v>18</v>
      </c>
      <c r="B4" s="22" t="s">
        <v>18</v>
      </c>
      <c r="C4" s="22" t="s">
        <v>34</v>
      </c>
      <c r="D4" s="22" t="s">
        <v>34</v>
      </c>
      <c r="E4" s="23">
        <v>1.0</v>
      </c>
      <c r="F4" s="23">
        <v>2.410946</v>
      </c>
      <c r="H4" s="22" t="s">
        <v>23</v>
      </c>
      <c r="J4" s="25">
        <f>average(F59:F86)</f>
        <v>0.7638710357</v>
      </c>
      <c r="K4" s="24">
        <v>2.0</v>
      </c>
      <c r="L4" s="25">
        <f t="shared" ref="L4:L5" si="1">30-K4</f>
        <v>28</v>
      </c>
    </row>
    <row r="5">
      <c r="A5" s="22" t="s">
        <v>18</v>
      </c>
      <c r="B5" s="22" t="s">
        <v>18</v>
      </c>
      <c r="C5" s="22" t="s">
        <v>34</v>
      </c>
      <c r="D5" s="22" t="s">
        <v>34</v>
      </c>
      <c r="E5" s="23">
        <v>1.0</v>
      </c>
      <c r="F5" s="23">
        <v>0.568767</v>
      </c>
      <c r="H5" s="22" t="s">
        <v>24</v>
      </c>
      <c r="J5" s="25">
        <f>average(F30:F58)</f>
        <v>1.283878759</v>
      </c>
      <c r="K5" s="24">
        <v>1.0</v>
      </c>
      <c r="L5" s="25">
        <f t="shared" si="1"/>
        <v>29</v>
      </c>
    </row>
    <row r="6">
      <c r="A6" s="22" t="s">
        <v>18</v>
      </c>
      <c r="B6" s="22" t="s">
        <v>18</v>
      </c>
      <c r="C6" s="22" t="s">
        <v>34</v>
      </c>
      <c r="D6" s="22" t="s">
        <v>34</v>
      </c>
      <c r="E6" s="23">
        <v>1.0</v>
      </c>
      <c r="F6" s="23">
        <v>1.14236</v>
      </c>
      <c r="H6" s="22" t="s">
        <v>25</v>
      </c>
      <c r="J6" s="25">
        <f>average(J7:J8)</f>
        <v>1.023588963</v>
      </c>
      <c r="K6" s="24">
        <v>6.0</v>
      </c>
      <c r="L6" s="25">
        <f>60-K6</f>
        <v>54</v>
      </c>
    </row>
    <row r="7">
      <c r="A7" s="22" t="s">
        <v>18</v>
      </c>
      <c r="B7" s="22" t="s">
        <v>18</v>
      </c>
      <c r="C7" s="22" t="s">
        <v>34</v>
      </c>
      <c r="D7" s="22" t="s">
        <v>34</v>
      </c>
      <c r="E7" s="23">
        <v>1.0</v>
      </c>
      <c r="F7" s="23">
        <v>0.522401</v>
      </c>
      <c r="H7" s="22" t="s">
        <v>26</v>
      </c>
      <c r="J7" s="25">
        <f>average(F87:F112)</f>
        <v>1.080471962</v>
      </c>
      <c r="K7" s="24">
        <v>4.0</v>
      </c>
      <c r="L7" s="25">
        <f t="shared" ref="L7:L8" si="2">30-K7</f>
        <v>26</v>
      </c>
    </row>
    <row r="8">
      <c r="A8" s="22" t="s">
        <v>18</v>
      </c>
      <c r="B8" s="22" t="s">
        <v>18</v>
      </c>
      <c r="C8" s="22" t="s">
        <v>34</v>
      </c>
      <c r="D8" s="22" t="s">
        <v>34</v>
      </c>
      <c r="E8" s="23">
        <v>1.0</v>
      </c>
      <c r="F8" s="23">
        <v>0.575661</v>
      </c>
      <c r="H8" s="22" t="s">
        <v>27</v>
      </c>
      <c r="J8" s="25">
        <f>average(F2:F29)</f>
        <v>0.9667059643</v>
      </c>
      <c r="K8" s="24">
        <v>2.0</v>
      </c>
      <c r="L8" s="25">
        <f t="shared" si="2"/>
        <v>28</v>
      </c>
    </row>
    <row r="9">
      <c r="A9" s="22" t="s">
        <v>18</v>
      </c>
      <c r="B9" s="22" t="s">
        <v>18</v>
      </c>
      <c r="C9" s="22" t="s">
        <v>34</v>
      </c>
      <c r="D9" s="22" t="s">
        <v>34</v>
      </c>
      <c r="E9" s="23">
        <v>1.0</v>
      </c>
      <c r="F9" s="23">
        <v>0.827745</v>
      </c>
    </row>
    <row r="10">
      <c r="A10" s="22" t="s">
        <v>18</v>
      </c>
      <c r="B10" s="22" t="s">
        <v>18</v>
      </c>
      <c r="C10" s="22" t="s">
        <v>34</v>
      </c>
      <c r="D10" s="22" t="s">
        <v>34</v>
      </c>
      <c r="E10" s="23">
        <v>1.0</v>
      </c>
      <c r="F10" s="23">
        <v>0.663626</v>
      </c>
      <c r="H10" s="24" t="s">
        <v>12</v>
      </c>
      <c r="I10" s="24" t="s">
        <v>37</v>
      </c>
      <c r="J10" s="24" t="s">
        <v>38</v>
      </c>
    </row>
    <row r="11">
      <c r="A11" s="22" t="s">
        <v>18</v>
      </c>
      <c r="B11" s="22" t="s">
        <v>18</v>
      </c>
      <c r="C11" s="22" t="s">
        <v>34</v>
      </c>
      <c r="D11" s="22" t="s">
        <v>34</v>
      </c>
      <c r="E11" s="23">
        <v>1.0</v>
      </c>
      <c r="F11" s="23">
        <v>0.405322</v>
      </c>
      <c r="H11" s="24" t="s">
        <v>13</v>
      </c>
      <c r="I11" s="24" t="s">
        <v>39</v>
      </c>
      <c r="J11" s="24" t="s">
        <v>40</v>
      </c>
    </row>
    <row r="12">
      <c r="A12" s="22" t="s">
        <v>18</v>
      </c>
      <c r="B12" s="22" t="s">
        <v>18</v>
      </c>
      <c r="C12" s="22" t="s">
        <v>34</v>
      </c>
      <c r="D12" s="22" t="s">
        <v>34</v>
      </c>
      <c r="E12" s="23">
        <v>1.0</v>
      </c>
      <c r="F12" s="23">
        <v>0.53912</v>
      </c>
    </row>
    <row r="13">
      <c r="A13" s="22" t="s">
        <v>18</v>
      </c>
      <c r="B13" s="22" t="s">
        <v>18</v>
      </c>
      <c r="C13" s="22" t="s">
        <v>34</v>
      </c>
      <c r="D13" s="22" t="s">
        <v>34</v>
      </c>
      <c r="E13" s="23">
        <v>1.0</v>
      </c>
      <c r="F13" s="23">
        <v>0.552242</v>
      </c>
      <c r="I13" s="24" t="s">
        <v>28</v>
      </c>
      <c r="J13" s="24" t="s">
        <v>29</v>
      </c>
    </row>
    <row r="14">
      <c r="A14" s="22" t="s">
        <v>18</v>
      </c>
      <c r="B14" s="22" t="s">
        <v>18</v>
      </c>
      <c r="C14" s="22" t="s">
        <v>34</v>
      </c>
      <c r="D14" s="22" t="s">
        <v>34</v>
      </c>
      <c r="E14" s="23">
        <v>1.0</v>
      </c>
      <c r="F14" s="23">
        <v>0.507668</v>
      </c>
      <c r="H14" s="24" t="s">
        <v>30</v>
      </c>
      <c r="I14" s="25">
        <f>J4</f>
        <v>0.7638710357</v>
      </c>
      <c r="J14" s="25">
        <f>J7</f>
        <v>1.080471962</v>
      </c>
    </row>
    <row r="15">
      <c r="A15" s="22" t="s">
        <v>18</v>
      </c>
      <c r="B15" s="22" t="s">
        <v>18</v>
      </c>
      <c r="C15" s="22" t="s">
        <v>34</v>
      </c>
      <c r="D15" s="22" t="s">
        <v>34</v>
      </c>
      <c r="E15" s="23">
        <v>1.0</v>
      </c>
      <c r="F15" s="23">
        <v>1.643612</v>
      </c>
      <c r="H15" s="24" t="s">
        <v>31</v>
      </c>
      <c r="I15" s="25">
        <f>J8</f>
        <v>0.9667059643</v>
      </c>
      <c r="J15" s="25">
        <f>J5</f>
        <v>1.283878759</v>
      </c>
    </row>
    <row r="16">
      <c r="A16" s="22" t="s">
        <v>18</v>
      </c>
      <c r="B16" s="22" t="s">
        <v>18</v>
      </c>
      <c r="C16" s="22" t="s">
        <v>34</v>
      </c>
      <c r="D16" s="22" t="s">
        <v>34</v>
      </c>
      <c r="E16" s="23">
        <v>1.0</v>
      </c>
      <c r="F16" s="23">
        <v>4.474898</v>
      </c>
      <c r="H16" s="24" t="s">
        <v>32</v>
      </c>
    </row>
    <row r="17">
      <c r="A17" s="22" t="s">
        <v>18</v>
      </c>
      <c r="B17" s="22" t="s">
        <v>18</v>
      </c>
      <c r="C17" s="22" t="s">
        <v>34</v>
      </c>
      <c r="D17" s="22" t="s">
        <v>34</v>
      </c>
      <c r="E17" s="23">
        <v>1.0</v>
      </c>
      <c r="F17" s="23">
        <v>0.671213</v>
      </c>
      <c r="H17" s="22" t="s">
        <v>22</v>
      </c>
      <c r="J17" s="25">
        <f>L3/60*100</f>
        <v>95</v>
      </c>
    </row>
    <row r="18">
      <c r="A18" s="22" t="s">
        <v>18</v>
      </c>
      <c r="B18" s="22" t="s">
        <v>18</v>
      </c>
      <c r="C18" s="22" t="s">
        <v>34</v>
      </c>
      <c r="D18" s="22" t="s">
        <v>34</v>
      </c>
      <c r="E18" s="23">
        <v>1.0</v>
      </c>
      <c r="F18" s="23">
        <v>0.72947</v>
      </c>
      <c r="H18" s="22" t="s">
        <v>23</v>
      </c>
      <c r="J18" s="25">
        <f t="shared" ref="J18:J19" si="3">L4/30*100</f>
        <v>93.33333333</v>
      </c>
    </row>
    <row r="19">
      <c r="A19" s="22" t="s">
        <v>18</v>
      </c>
      <c r="B19" s="22" t="s">
        <v>18</v>
      </c>
      <c r="C19" s="22" t="s">
        <v>34</v>
      </c>
      <c r="D19" s="22" t="s">
        <v>34</v>
      </c>
      <c r="E19" s="23">
        <v>1.0</v>
      </c>
      <c r="F19" s="23">
        <v>0.799157</v>
      </c>
      <c r="H19" s="22" t="s">
        <v>24</v>
      </c>
      <c r="J19" s="25">
        <f t="shared" si="3"/>
        <v>96.66666667</v>
      </c>
    </row>
    <row r="20">
      <c r="A20" s="22" t="s">
        <v>18</v>
      </c>
      <c r="B20" s="22" t="s">
        <v>18</v>
      </c>
      <c r="C20" s="22" t="s">
        <v>34</v>
      </c>
      <c r="D20" s="22" t="s">
        <v>34</v>
      </c>
      <c r="E20" s="23">
        <v>1.0</v>
      </c>
      <c r="F20" s="23">
        <v>0.468757</v>
      </c>
      <c r="H20" s="22" t="s">
        <v>25</v>
      </c>
      <c r="J20" s="25">
        <f>L6/60*100</f>
        <v>90</v>
      </c>
    </row>
    <row r="21">
      <c r="A21" s="22" t="s">
        <v>18</v>
      </c>
      <c r="B21" s="22" t="s">
        <v>18</v>
      </c>
      <c r="C21" s="22" t="s">
        <v>34</v>
      </c>
      <c r="D21" s="22" t="s">
        <v>34</v>
      </c>
      <c r="E21" s="23">
        <v>1.0</v>
      </c>
      <c r="F21" s="23">
        <v>0.432531</v>
      </c>
      <c r="H21" s="22" t="s">
        <v>26</v>
      </c>
      <c r="J21" s="25">
        <f t="shared" ref="J21:J22" si="4">L7/30*100</f>
        <v>86.66666667</v>
      </c>
    </row>
    <row r="22">
      <c r="A22" s="22" t="s">
        <v>18</v>
      </c>
      <c r="B22" s="22" t="s">
        <v>18</v>
      </c>
      <c r="C22" s="22" t="s">
        <v>34</v>
      </c>
      <c r="D22" s="22" t="s">
        <v>34</v>
      </c>
      <c r="E22" s="23">
        <v>1.0</v>
      </c>
      <c r="F22" s="23">
        <v>1.104013</v>
      </c>
      <c r="H22" s="22" t="s">
        <v>27</v>
      </c>
      <c r="J22" s="25">
        <f t="shared" si="4"/>
        <v>93.33333333</v>
      </c>
    </row>
    <row r="23">
      <c r="A23" s="22" t="s">
        <v>18</v>
      </c>
      <c r="B23" s="22" t="s">
        <v>18</v>
      </c>
      <c r="C23" s="22" t="s">
        <v>34</v>
      </c>
      <c r="D23" s="22" t="s">
        <v>34</v>
      </c>
      <c r="E23" s="23">
        <v>1.0</v>
      </c>
      <c r="F23" s="23">
        <v>0.446899</v>
      </c>
    </row>
    <row r="24">
      <c r="A24" s="22" t="s">
        <v>18</v>
      </c>
      <c r="B24" s="22" t="s">
        <v>18</v>
      </c>
      <c r="C24" s="22" t="s">
        <v>34</v>
      </c>
      <c r="D24" s="22" t="s">
        <v>34</v>
      </c>
      <c r="E24" s="23">
        <v>1.0</v>
      </c>
      <c r="F24" s="23">
        <v>0.468216</v>
      </c>
    </row>
    <row r="25">
      <c r="A25" s="22" t="s">
        <v>18</v>
      </c>
      <c r="B25" s="22" t="s">
        <v>18</v>
      </c>
      <c r="C25" s="22" t="s">
        <v>34</v>
      </c>
      <c r="D25" s="22" t="s">
        <v>34</v>
      </c>
      <c r="E25" s="23">
        <v>1.0</v>
      </c>
      <c r="F25" s="23">
        <v>1.28385</v>
      </c>
    </row>
    <row r="26">
      <c r="A26" s="22" t="s">
        <v>18</v>
      </c>
      <c r="B26" s="22" t="s">
        <v>18</v>
      </c>
      <c r="C26" s="22" t="s">
        <v>34</v>
      </c>
      <c r="D26" s="22" t="s">
        <v>34</v>
      </c>
      <c r="E26" s="23">
        <v>1.0</v>
      </c>
      <c r="F26" s="23">
        <v>0.514567</v>
      </c>
    </row>
    <row r="27">
      <c r="A27" s="22" t="s">
        <v>18</v>
      </c>
      <c r="B27" s="22" t="s">
        <v>18</v>
      </c>
      <c r="C27" s="22" t="s">
        <v>34</v>
      </c>
      <c r="D27" s="22" t="s">
        <v>34</v>
      </c>
      <c r="E27" s="23">
        <v>1.0</v>
      </c>
      <c r="F27" s="23">
        <v>0.633115</v>
      </c>
    </row>
    <row r="28">
      <c r="A28" s="22" t="s">
        <v>18</v>
      </c>
      <c r="B28" s="22" t="s">
        <v>18</v>
      </c>
      <c r="C28" s="22" t="s">
        <v>34</v>
      </c>
      <c r="D28" s="22" t="s">
        <v>34</v>
      </c>
      <c r="E28" s="23">
        <v>1.0</v>
      </c>
      <c r="F28" s="23">
        <v>0.748904</v>
      </c>
    </row>
    <row r="29">
      <c r="A29" s="22" t="s">
        <v>18</v>
      </c>
      <c r="B29" s="22" t="s">
        <v>18</v>
      </c>
      <c r="C29" s="22" t="s">
        <v>34</v>
      </c>
      <c r="D29" s="22" t="s">
        <v>34</v>
      </c>
      <c r="E29" s="23">
        <v>1.0</v>
      </c>
      <c r="F29" s="23">
        <v>0.549535</v>
      </c>
    </row>
    <row r="30">
      <c r="A30" s="22" t="s">
        <v>18</v>
      </c>
      <c r="B30" s="22" t="s">
        <v>33</v>
      </c>
      <c r="C30" s="22" t="s">
        <v>19</v>
      </c>
      <c r="D30" s="22" t="s">
        <v>34</v>
      </c>
      <c r="E30" s="23">
        <v>1.0</v>
      </c>
      <c r="F30" s="23">
        <v>0.852216</v>
      </c>
    </row>
    <row r="31">
      <c r="A31" s="22" t="s">
        <v>18</v>
      </c>
      <c r="B31" s="22" t="s">
        <v>33</v>
      </c>
      <c r="C31" s="22" t="s">
        <v>19</v>
      </c>
      <c r="D31" s="22" t="s">
        <v>34</v>
      </c>
      <c r="E31" s="23">
        <v>1.0</v>
      </c>
      <c r="F31" s="23">
        <v>2.105129</v>
      </c>
    </row>
    <row r="32">
      <c r="A32" s="22" t="s">
        <v>18</v>
      </c>
      <c r="B32" s="22" t="s">
        <v>33</v>
      </c>
      <c r="C32" s="22" t="s">
        <v>19</v>
      </c>
      <c r="D32" s="22" t="s">
        <v>34</v>
      </c>
      <c r="E32" s="23">
        <v>1.0</v>
      </c>
      <c r="F32" s="23">
        <v>3.709949</v>
      </c>
    </row>
    <row r="33">
      <c r="A33" s="22" t="s">
        <v>18</v>
      </c>
      <c r="B33" s="22" t="s">
        <v>33</v>
      </c>
      <c r="C33" s="22" t="s">
        <v>19</v>
      </c>
      <c r="D33" s="22" t="s">
        <v>34</v>
      </c>
      <c r="E33" s="23">
        <v>1.0</v>
      </c>
      <c r="F33" s="23">
        <v>0.471093</v>
      </c>
    </row>
    <row r="34">
      <c r="A34" s="22" t="s">
        <v>18</v>
      </c>
      <c r="B34" s="22" t="s">
        <v>33</v>
      </c>
      <c r="C34" s="22" t="s">
        <v>19</v>
      </c>
      <c r="D34" s="22" t="s">
        <v>34</v>
      </c>
      <c r="E34" s="23">
        <v>1.0</v>
      </c>
      <c r="F34" s="23">
        <v>0.861589</v>
      </c>
    </row>
    <row r="35">
      <c r="A35" s="22" t="s">
        <v>18</v>
      </c>
      <c r="B35" s="22" t="s">
        <v>33</v>
      </c>
      <c r="C35" s="22" t="s">
        <v>19</v>
      </c>
      <c r="D35" s="22" t="s">
        <v>34</v>
      </c>
      <c r="E35" s="23">
        <v>1.0</v>
      </c>
      <c r="F35" s="23">
        <v>0.546925</v>
      </c>
    </row>
    <row r="36">
      <c r="A36" s="22" t="s">
        <v>18</v>
      </c>
      <c r="B36" s="22" t="s">
        <v>33</v>
      </c>
      <c r="C36" s="22" t="s">
        <v>19</v>
      </c>
      <c r="D36" s="22" t="s">
        <v>34</v>
      </c>
      <c r="E36" s="23">
        <v>1.0</v>
      </c>
      <c r="F36" s="23">
        <v>0.678755</v>
      </c>
    </row>
    <row r="37">
      <c r="A37" s="22" t="s">
        <v>18</v>
      </c>
      <c r="B37" s="22" t="s">
        <v>33</v>
      </c>
      <c r="C37" s="22" t="s">
        <v>19</v>
      </c>
      <c r="D37" s="22" t="s">
        <v>34</v>
      </c>
      <c r="E37" s="23">
        <v>1.0</v>
      </c>
      <c r="F37" s="23">
        <v>2.504005</v>
      </c>
    </row>
    <row r="38">
      <c r="A38" s="22" t="s">
        <v>18</v>
      </c>
      <c r="B38" s="22" t="s">
        <v>33</v>
      </c>
      <c r="C38" s="22" t="s">
        <v>19</v>
      </c>
      <c r="D38" s="22" t="s">
        <v>34</v>
      </c>
      <c r="E38" s="23">
        <v>1.0</v>
      </c>
      <c r="F38" s="23">
        <v>1.427545</v>
      </c>
    </row>
    <row r="39">
      <c r="A39" s="22" t="s">
        <v>18</v>
      </c>
      <c r="B39" s="22" t="s">
        <v>33</v>
      </c>
      <c r="C39" s="22" t="s">
        <v>19</v>
      </c>
      <c r="D39" s="22" t="s">
        <v>34</v>
      </c>
      <c r="E39" s="23">
        <v>1.0</v>
      </c>
      <c r="F39" s="23">
        <v>0.673169</v>
      </c>
    </row>
    <row r="40">
      <c r="A40" s="22" t="s">
        <v>18</v>
      </c>
      <c r="B40" s="22" t="s">
        <v>33</v>
      </c>
      <c r="C40" s="22" t="s">
        <v>19</v>
      </c>
      <c r="D40" s="22" t="s">
        <v>34</v>
      </c>
      <c r="E40" s="23">
        <v>1.0</v>
      </c>
      <c r="F40" s="23">
        <v>1.076023</v>
      </c>
    </row>
    <row r="41">
      <c r="A41" s="22" t="s">
        <v>18</v>
      </c>
      <c r="B41" s="22" t="s">
        <v>33</v>
      </c>
      <c r="C41" s="22" t="s">
        <v>19</v>
      </c>
      <c r="D41" s="22" t="s">
        <v>34</v>
      </c>
      <c r="E41" s="23">
        <v>1.0</v>
      </c>
      <c r="F41" s="23">
        <v>0.683394</v>
      </c>
    </row>
    <row r="42">
      <c r="A42" s="22" t="s">
        <v>18</v>
      </c>
      <c r="B42" s="22" t="s">
        <v>33</v>
      </c>
      <c r="C42" s="22" t="s">
        <v>19</v>
      </c>
      <c r="D42" s="22" t="s">
        <v>34</v>
      </c>
      <c r="E42" s="23">
        <v>1.0</v>
      </c>
      <c r="F42" s="23">
        <v>0.456508</v>
      </c>
    </row>
    <row r="43">
      <c r="A43" s="22" t="s">
        <v>18</v>
      </c>
      <c r="B43" s="22" t="s">
        <v>33</v>
      </c>
      <c r="C43" s="22" t="s">
        <v>19</v>
      </c>
      <c r="D43" s="22" t="s">
        <v>34</v>
      </c>
      <c r="E43" s="23">
        <v>1.0</v>
      </c>
      <c r="F43" s="23">
        <v>0.525091</v>
      </c>
    </row>
    <row r="44">
      <c r="A44" s="22" t="s">
        <v>18</v>
      </c>
      <c r="B44" s="22" t="s">
        <v>33</v>
      </c>
      <c r="C44" s="22" t="s">
        <v>19</v>
      </c>
      <c r="D44" s="22" t="s">
        <v>34</v>
      </c>
      <c r="E44" s="23">
        <v>1.0</v>
      </c>
      <c r="F44" s="23">
        <v>2.02873</v>
      </c>
    </row>
    <row r="45">
      <c r="A45" s="22" t="s">
        <v>18</v>
      </c>
      <c r="B45" s="22" t="s">
        <v>33</v>
      </c>
      <c r="C45" s="22" t="s">
        <v>19</v>
      </c>
      <c r="D45" s="22" t="s">
        <v>34</v>
      </c>
      <c r="E45" s="23">
        <v>1.0</v>
      </c>
      <c r="F45" s="23">
        <v>0.525612</v>
      </c>
    </row>
    <row r="46">
      <c r="A46" s="22" t="s">
        <v>18</v>
      </c>
      <c r="B46" s="22" t="s">
        <v>33</v>
      </c>
      <c r="C46" s="22" t="s">
        <v>19</v>
      </c>
      <c r="D46" s="22" t="s">
        <v>34</v>
      </c>
      <c r="E46" s="23">
        <v>1.0</v>
      </c>
      <c r="F46" s="23">
        <v>2.05275</v>
      </c>
    </row>
    <row r="47">
      <c r="A47" s="22" t="s">
        <v>18</v>
      </c>
      <c r="B47" s="22" t="s">
        <v>33</v>
      </c>
      <c r="C47" s="22" t="s">
        <v>19</v>
      </c>
      <c r="D47" s="22" t="s">
        <v>34</v>
      </c>
      <c r="E47" s="23">
        <v>1.0</v>
      </c>
      <c r="F47" s="23">
        <v>0.475868</v>
      </c>
    </row>
    <row r="48">
      <c r="A48" s="22" t="s">
        <v>18</v>
      </c>
      <c r="B48" s="22" t="s">
        <v>33</v>
      </c>
      <c r="C48" s="22" t="s">
        <v>19</v>
      </c>
      <c r="D48" s="22" t="s">
        <v>34</v>
      </c>
      <c r="E48" s="23">
        <v>1.0</v>
      </c>
      <c r="F48" s="23">
        <v>0.542063</v>
      </c>
    </row>
    <row r="49">
      <c r="A49" s="22" t="s">
        <v>18</v>
      </c>
      <c r="B49" s="22" t="s">
        <v>33</v>
      </c>
      <c r="C49" s="22" t="s">
        <v>19</v>
      </c>
      <c r="D49" s="22" t="s">
        <v>34</v>
      </c>
      <c r="E49" s="23">
        <v>1.0</v>
      </c>
      <c r="F49" s="23">
        <v>0.843043</v>
      </c>
    </row>
    <row r="50">
      <c r="A50" s="22" t="s">
        <v>18</v>
      </c>
      <c r="B50" s="22" t="s">
        <v>33</v>
      </c>
      <c r="C50" s="22" t="s">
        <v>19</v>
      </c>
      <c r="D50" s="22" t="s">
        <v>34</v>
      </c>
      <c r="E50" s="23">
        <v>1.0</v>
      </c>
      <c r="F50" s="23">
        <v>0.483836</v>
      </c>
    </row>
    <row r="51">
      <c r="A51" s="22" t="s">
        <v>18</v>
      </c>
      <c r="B51" s="22" t="s">
        <v>33</v>
      </c>
      <c r="C51" s="22" t="s">
        <v>19</v>
      </c>
      <c r="D51" s="22" t="s">
        <v>34</v>
      </c>
      <c r="E51" s="23">
        <v>1.0</v>
      </c>
      <c r="F51" s="23">
        <v>0.521986</v>
      </c>
    </row>
    <row r="52">
      <c r="A52" s="22" t="s">
        <v>18</v>
      </c>
      <c r="B52" s="22" t="s">
        <v>33</v>
      </c>
      <c r="C52" s="22" t="s">
        <v>19</v>
      </c>
      <c r="D52" s="22" t="s">
        <v>34</v>
      </c>
      <c r="E52" s="23">
        <v>1.0</v>
      </c>
      <c r="F52" s="23">
        <v>0.743748</v>
      </c>
    </row>
    <row r="53">
      <c r="A53" s="22" t="s">
        <v>18</v>
      </c>
      <c r="B53" s="22" t="s">
        <v>33</v>
      </c>
      <c r="C53" s="22" t="s">
        <v>19</v>
      </c>
      <c r="D53" s="22" t="s">
        <v>34</v>
      </c>
      <c r="E53" s="23">
        <v>1.0</v>
      </c>
      <c r="F53" s="23">
        <v>0.50757</v>
      </c>
    </row>
    <row r="54">
      <c r="A54" s="22" t="s">
        <v>18</v>
      </c>
      <c r="B54" s="22" t="s">
        <v>33</v>
      </c>
      <c r="C54" s="22" t="s">
        <v>19</v>
      </c>
      <c r="D54" s="22" t="s">
        <v>34</v>
      </c>
      <c r="E54" s="23">
        <v>1.0</v>
      </c>
      <c r="F54" s="23">
        <v>0.594816</v>
      </c>
    </row>
    <row r="55">
      <c r="A55" s="22" t="s">
        <v>18</v>
      </c>
      <c r="B55" s="22" t="s">
        <v>33</v>
      </c>
      <c r="C55" s="22" t="s">
        <v>19</v>
      </c>
      <c r="D55" s="22" t="s">
        <v>34</v>
      </c>
      <c r="E55" s="23">
        <v>1.0</v>
      </c>
      <c r="F55" s="23">
        <v>1.866554</v>
      </c>
    </row>
    <row r="56">
      <c r="A56" s="22" t="s">
        <v>18</v>
      </c>
      <c r="B56" s="22" t="s">
        <v>33</v>
      </c>
      <c r="C56" s="22" t="s">
        <v>19</v>
      </c>
      <c r="D56" s="22" t="s">
        <v>34</v>
      </c>
      <c r="E56" s="23">
        <v>1.0</v>
      </c>
      <c r="F56" s="23">
        <v>4.883863</v>
      </c>
    </row>
    <row r="57">
      <c r="A57" s="22" t="s">
        <v>18</v>
      </c>
      <c r="B57" s="22" t="s">
        <v>33</v>
      </c>
      <c r="C57" s="22" t="s">
        <v>19</v>
      </c>
      <c r="D57" s="22" t="s">
        <v>34</v>
      </c>
      <c r="E57" s="23">
        <v>1.0</v>
      </c>
      <c r="F57" s="23">
        <v>4.022877</v>
      </c>
    </row>
    <row r="58">
      <c r="A58" s="22" t="s">
        <v>18</v>
      </c>
      <c r="B58" s="22" t="s">
        <v>33</v>
      </c>
      <c r="C58" s="22" t="s">
        <v>19</v>
      </c>
      <c r="D58" s="22" t="s">
        <v>34</v>
      </c>
      <c r="E58" s="23">
        <v>1.0</v>
      </c>
      <c r="F58" s="23">
        <v>0.567777</v>
      </c>
    </row>
    <row r="59">
      <c r="A59" s="22" t="s">
        <v>33</v>
      </c>
      <c r="B59" s="22" t="s">
        <v>18</v>
      </c>
      <c r="C59" s="22" t="s">
        <v>19</v>
      </c>
      <c r="D59" s="22" t="s">
        <v>34</v>
      </c>
      <c r="E59" s="23">
        <v>1.0</v>
      </c>
      <c r="F59" s="23">
        <v>0.501092</v>
      </c>
    </row>
    <row r="60">
      <c r="A60" s="22" t="s">
        <v>33</v>
      </c>
      <c r="B60" s="22" t="s">
        <v>18</v>
      </c>
      <c r="C60" s="22" t="s">
        <v>19</v>
      </c>
      <c r="D60" s="22" t="s">
        <v>34</v>
      </c>
      <c r="E60" s="23">
        <v>1.0</v>
      </c>
      <c r="F60" s="23">
        <v>0.599021</v>
      </c>
    </row>
    <row r="61">
      <c r="A61" s="22" t="s">
        <v>33</v>
      </c>
      <c r="B61" s="22" t="s">
        <v>18</v>
      </c>
      <c r="C61" s="22" t="s">
        <v>19</v>
      </c>
      <c r="D61" s="22" t="s">
        <v>34</v>
      </c>
      <c r="E61" s="23">
        <v>1.0</v>
      </c>
      <c r="F61" s="23">
        <v>0.683242</v>
      </c>
    </row>
    <row r="62">
      <c r="A62" s="22" t="s">
        <v>33</v>
      </c>
      <c r="B62" s="22" t="s">
        <v>18</v>
      </c>
      <c r="C62" s="22" t="s">
        <v>19</v>
      </c>
      <c r="D62" s="22" t="s">
        <v>34</v>
      </c>
      <c r="E62" s="23">
        <v>1.0</v>
      </c>
      <c r="F62" s="23">
        <v>0.673085</v>
      </c>
    </row>
    <row r="63">
      <c r="A63" s="22" t="s">
        <v>33</v>
      </c>
      <c r="B63" s="22" t="s">
        <v>18</v>
      </c>
      <c r="C63" s="22" t="s">
        <v>19</v>
      </c>
      <c r="D63" s="22" t="s">
        <v>34</v>
      </c>
      <c r="E63" s="23">
        <v>1.0</v>
      </c>
      <c r="F63" s="23">
        <v>0.461145</v>
      </c>
    </row>
    <row r="64">
      <c r="A64" s="22" t="s">
        <v>33</v>
      </c>
      <c r="B64" s="22" t="s">
        <v>18</v>
      </c>
      <c r="C64" s="22" t="s">
        <v>19</v>
      </c>
      <c r="D64" s="22" t="s">
        <v>34</v>
      </c>
      <c r="E64" s="23">
        <v>1.0</v>
      </c>
      <c r="F64" s="23">
        <v>0.673464</v>
      </c>
    </row>
    <row r="65">
      <c r="A65" s="22" t="s">
        <v>33</v>
      </c>
      <c r="B65" s="22" t="s">
        <v>18</v>
      </c>
      <c r="C65" s="22" t="s">
        <v>19</v>
      </c>
      <c r="D65" s="22" t="s">
        <v>34</v>
      </c>
      <c r="E65" s="23">
        <v>1.0</v>
      </c>
      <c r="F65" s="23">
        <v>0.726191</v>
      </c>
    </row>
    <row r="66">
      <c r="A66" s="22" t="s">
        <v>33</v>
      </c>
      <c r="B66" s="22" t="s">
        <v>18</v>
      </c>
      <c r="C66" s="22" t="s">
        <v>19</v>
      </c>
      <c r="D66" s="22" t="s">
        <v>34</v>
      </c>
      <c r="E66" s="23">
        <v>1.0</v>
      </c>
      <c r="F66" s="23">
        <v>0.6738</v>
      </c>
    </row>
    <row r="67">
      <c r="A67" s="22" t="s">
        <v>33</v>
      </c>
      <c r="B67" s="22" t="s">
        <v>18</v>
      </c>
      <c r="C67" s="22" t="s">
        <v>19</v>
      </c>
      <c r="D67" s="22" t="s">
        <v>34</v>
      </c>
      <c r="E67" s="23">
        <v>1.0</v>
      </c>
      <c r="F67" s="23">
        <v>0.817625</v>
      </c>
    </row>
    <row r="68">
      <c r="A68" s="22" t="s">
        <v>33</v>
      </c>
      <c r="B68" s="22" t="s">
        <v>18</v>
      </c>
      <c r="C68" s="22" t="s">
        <v>19</v>
      </c>
      <c r="D68" s="22" t="s">
        <v>34</v>
      </c>
      <c r="E68" s="23">
        <v>1.0</v>
      </c>
      <c r="F68" s="23">
        <v>3.178541</v>
      </c>
    </row>
    <row r="69">
      <c r="A69" s="22" t="s">
        <v>33</v>
      </c>
      <c r="B69" s="22" t="s">
        <v>18</v>
      </c>
      <c r="C69" s="22" t="s">
        <v>19</v>
      </c>
      <c r="D69" s="22" t="s">
        <v>34</v>
      </c>
      <c r="E69" s="23">
        <v>1.0</v>
      </c>
      <c r="F69" s="23">
        <v>0.491241</v>
      </c>
    </row>
    <row r="70">
      <c r="A70" s="22" t="s">
        <v>33</v>
      </c>
      <c r="B70" s="22" t="s">
        <v>18</v>
      </c>
      <c r="C70" s="22" t="s">
        <v>19</v>
      </c>
      <c r="D70" s="22" t="s">
        <v>34</v>
      </c>
      <c r="E70" s="23">
        <v>1.0</v>
      </c>
      <c r="F70" s="23">
        <v>0.752523</v>
      </c>
    </row>
    <row r="71">
      <c r="A71" s="22" t="s">
        <v>33</v>
      </c>
      <c r="B71" s="22" t="s">
        <v>18</v>
      </c>
      <c r="C71" s="22" t="s">
        <v>19</v>
      </c>
      <c r="D71" s="22" t="s">
        <v>34</v>
      </c>
      <c r="E71" s="23">
        <v>1.0</v>
      </c>
      <c r="F71" s="23">
        <v>1.077977</v>
      </c>
    </row>
    <row r="72">
      <c r="A72" s="22" t="s">
        <v>33</v>
      </c>
      <c r="B72" s="22" t="s">
        <v>18</v>
      </c>
      <c r="C72" s="22" t="s">
        <v>19</v>
      </c>
      <c r="D72" s="22" t="s">
        <v>34</v>
      </c>
      <c r="E72" s="23">
        <v>1.0</v>
      </c>
      <c r="F72" s="23">
        <v>0.940481</v>
      </c>
    </row>
    <row r="73">
      <c r="A73" s="22" t="s">
        <v>33</v>
      </c>
      <c r="B73" s="22" t="s">
        <v>18</v>
      </c>
      <c r="C73" s="22" t="s">
        <v>19</v>
      </c>
      <c r="D73" s="22" t="s">
        <v>34</v>
      </c>
      <c r="E73" s="23">
        <v>1.0</v>
      </c>
      <c r="F73" s="23">
        <v>0.474435</v>
      </c>
    </row>
    <row r="74">
      <c r="A74" s="22" t="s">
        <v>33</v>
      </c>
      <c r="B74" s="22" t="s">
        <v>18</v>
      </c>
      <c r="C74" s="22" t="s">
        <v>19</v>
      </c>
      <c r="D74" s="22" t="s">
        <v>34</v>
      </c>
      <c r="E74" s="23">
        <v>1.0</v>
      </c>
      <c r="F74" s="23">
        <v>0.610123</v>
      </c>
    </row>
    <row r="75">
      <c r="A75" s="22" t="s">
        <v>33</v>
      </c>
      <c r="B75" s="22" t="s">
        <v>18</v>
      </c>
      <c r="C75" s="22" t="s">
        <v>19</v>
      </c>
      <c r="D75" s="22" t="s">
        <v>34</v>
      </c>
      <c r="E75" s="23">
        <v>1.0</v>
      </c>
      <c r="F75" s="23">
        <v>1.005709</v>
      </c>
    </row>
    <row r="76">
      <c r="A76" s="22" t="s">
        <v>33</v>
      </c>
      <c r="B76" s="22" t="s">
        <v>18</v>
      </c>
      <c r="C76" s="22" t="s">
        <v>19</v>
      </c>
      <c r="D76" s="22" t="s">
        <v>34</v>
      </c>
      <c r="E76" s="23">
        <v>1.0</v>
      </c>
      <c r="F76" s="23">
        <v>0.583838</v>
      </c>
    </row>
    <row r="77">
      <c r="A77" s="22" t="s">
        <v>33</v>
      </c>
      <c r="B77" s="22" t="s">
        <v>18</v>
      </c>
      <c r="C77" s="22" t="s">
        <v>19</v>
      </c>
      <c r="D77" s="22" t="s">
        <v>34</v>
      </c>
      <c r="E77" s="23">
        <v>1.0</v>
      </c>
      <c r="F77" s="23">
        <v>0.547312</v>
      </c>
    </row>
    <row r="78">
      <c r="A78" s="22" t="s">
        <v>33</v>
      </c>
      <c r="B78" s="22" t="s">
        <v>18</v>
      </c>
      <c r="C78" s="22" t="s">
        <v>19</v>
      </c>
      <c r="D78" s="22" t="s">
        <v>34</v>
      </c>
      <c r="E78" s="23">
        <v>1.0</v>
      </c>
      <c r="F78" s="23">
        <v>0.814747</v>
      </c>
    </row>
    <row r="79">
      <c r="A79" s="22" t="s">
        <v>33</v>
      </c>
      <c r="B79" s="22" t="s">
        <v>18</v>
      </c>
      <c r="C79" s="22" t="s">
        <v>19</v>
      </c>
      <c r="D79" s="22" t="s">
        <v>34</v>
      </c>
      <c r="E79" s="23">
        <v>1.0</v>
      </c>
      <c r="F79" s="23">
        <v>0.482102</v>
      </c>
    </row>
    <row r="80">
      <c r="A80" s="22" t="s">
        <v>33</v>
      </c>
      <c r="B80" s="22" t="s">
        <v>18</v>
      </c>
      <c r="C80" s="22" t="s">
        <v>19</v>
      </c>
      <c r="D80" s="22" t="s">
        <v>34</v>
      </c>
      <c r="E80" s="23">
        <v>1.0</v>
      </c>
      <c r="F80" s="23">
        <v>0.685459</v>
      </c>
    </row>
    <row r="81">
      <c r="A81" s="22" t="s">
        <v>33</v>
      </c>
      <c r="B81" s="22" t="s">
        <v>18</v>
      </c>
      <c r="C81" s="22" t="s">
        <v>19</v>
      </c>
      <c r="D81" s="22" t="s">
        <v>34</v>
      </c>
      <c r="E81" s="23">
        <v>1.0</v>
      </c>
      <c r="F81" s="23">
        <v>0.575428</v>
      </c>
    </row>
    <row r="82">
      <c r="A82" s="22" t="s">
        <v>33</v>
      </c>
      <c r="B82" s="22" t="s">
        <v>18</v>
      </c>
      <c r="C82" s="22" t="s">
        <v>19</v>
      </c>
      <c r="D82" s="22" t="s">
        <v>34</v>
      </c>
      <c r="E82" s="23">
        <v>1.0</v>
      </c>
      <c r="F82" s="23">
        <v>0.616186</v>
      </c>
    </row>
    <row r="83">
      <c r="A83" s="22" t="s">
        <v>33</v>
      </c>
      <c r="B83" s="22" t="s">
        <v>18</v>
      </c>
      <c r="C83" s="22" t="s">
        <v>19</v>
      </c>
      <c r="D83" s="22" t="s">
        <v>34</v>
      </c>
      <c r="E83" s="23">
        <v>1.0</v>
      </c>
      <c r="F83" s="23">
        <v>1.111952</v>
      </c>
    </row>
    <row r="84">
      <c r="A84" s="22" t="s">
        <v>33</v>
      </c>
      <c r="B84" s="22" t="s">
        <v>18</v>
      </c>
      <c r="C84" s="22" t="s">
        <v>19</v>
      </c>
      <c r="D84" s="22" t="s">
        <v>34</v>
      </c>
      <c r="E84" s="23">
        <v>1.0</v>
      </c>
      <c r="F84" s="23">
        <v>0.593008</v>
      </c>
    </row>
    <row r="85">
      <c r="A85" s="22" t="s">
        <v>33</v>
      </c>
      <c r="B85" s="22" t="s">
        <v>18</v>
      </c>
      <c r="C85" s="22" t="s">
        <v>19</v>
      </c>
      <c r="D85" s="22" t="s">
        <v>34</v>
      </c>
      <c r="E85" s="23">
        <v>1.0</v>
      </c>
      <c r="F85" s="23">
        <v>0.539732</v>
      </c>
    </row>
    <row r="86">
      <c r="A86" s="22" t="s">
        <v>33</v>
      </c>
      <c r="B86" s="22" t="s">
        <v>18</v>
      </c>
      <c r="C86" s="22" t="s">
        <v>19</v>
      </c>
      <c r="D86" s="22" t="s">
        <v>34</v>
      </c>
      <c r="E86" s="23">
        <v>1.0</v>
      </c>
      <c r="F86" s="23">
        <v>0.49893</v>
      </c>
    </row>
    <row r="87">
      <c r="A87" s="22" t="s">
        <v>33</v>
      </c>
      <c r="B87" s="22" t="s">
        <v>33</v>
      </c>
      <c r="C87" s="22" t="s">
        <v>34</v>
      </c>
      <c r="D87" s="22" t="s">
        <v>34</v>
      </c>
      <c r="E87" s="23">
        <v>1.0</v>
      </c>
      <c r="F87" s="23">
        <v>0.919416</v>
      </c>
    </row>
    <row r="88">
      <c r="A88" s="22" t="s">
        <v>33</v>
      </c>
      <c r="B88" s="22" t="s">
        <v>33</v>
      </c>
      <c r="C88" s="22" t="s">
        <v>34</v>
      </c>
      <c r="D88" s="22" t="s">
        <v>34</v>
      </c>
      <c r="E88" s="23">
        <v>1.0</v>
      </c>
      <c r="F88" s="23">
        <v>0.57688</v>
      </c>
    </row>
    <row r="89">
      <c r="A89" s="22" t="s">
        <v>33</v>
      </c>
      <c r="B89" s="22" t="s">
        <v>33</v>
      </c>
      <c r="C89" s="22" t="s">
        <v>34</v>
      </c>
      <c r="D89" s="22" t="s">
        <v>34</v>
      </c>
      <c r="E89" s="23">
        <v>1.0</v>
      </c>
      <c r="F89" s="23">
        <v>2.907093</v>
      </c>
    </row>
    <row r="90">
      <c r="A90" s="22" t="s">
        <v>33</v>
      </c>
      <c r="B90" s="22" t="s">
        <v>33</v>
      </c>
      <c r="C90" s="22" t="s">
        <v>34</v>
      </c>
      <c r="D90" s="22" t="s">
        <v>34</v>
      </c>
      <c r="E90" s="23">
        <v>1.0</v>
      </c>
      <c r="F90" s="23">
        <v>0.525283</v>
      </c>
    </row>
    <row r="91">
      <c r="A91" s="22" t="s">
        <v>33</v>
      </c>
      <c r="B91" s="22" t="s">
        <v>33</v>
      </c>
      <c r="C91" s="22" t="s">
        <v>34</v>
      </c>
      <c r="D91" s="22" t="s">
        <v>34</v>
      </c>
      <c r="E91" s="23">
        <v>1.0</v>
      </c>
      <c r="F91" s="23">
        <v>0.584052</v>
      </c>
    </row>
    <row r="92">
      <c r="A92" s="22" t="s">
        <v>33</v>
      </c>
      <c r="B92" s="22" t="s">
        <v>33</v>
      </c>
      <c r="C92" s="22" t="s">
        <v>34</v>
      </c>
      <c r="D92" s="22" t="s">
        <v>34</v>
      </c>
      <c r="E92" s="23">
        <v>1.0</v>
      </c>
      <c r="F92" s="23">
        <v>0.522433</v>
      </c>
    </row>
    <row r="93">
      <c r="A93" s="22" t="s">
        <v>33</v>
      </c>
      <c r="B93" s="22" t="s">
        <v>33</v>
      </c>
      <c r="C93" s="22" t="s">
        <v>34</v>
      </c>
      <c r="D93" s="22" t="s">
        <v>34</v>
      </c>
      <c r="E93" s="23">
        <v>1.0</v>
      </c>
      <c r="F93" s="23">
        <v>0.452305</v>
      </c>
    </row>
    <row r="94">
      <c r="A94" s="22" t="s">
        <v>33</v>
      </c>
      <c r="B94" s="22" t="s">
        <v>33</v>
      </c>
      <c r="C94" s="22" t="s">
        <v>34</v>
      </c>
      <c r="D94" s="22" t="s">
        <v>34</v>
      </c>
      <c r="E94" s="23">
        <v>1.0</v>
      </c>
      <c r="F94" s="23">
        <v>0.615793</v>
      </c>
    </row>
    <row r="95">
      <c r="A95" s="22" t="s">
        <v>33</v>
      </c>
      <c r="B95" s="22" t="s">
        <v>33</v>
      </c>
      <c r="C95" s="22" t="s">
        <v>34</v>
      </c>
      <c r="D95" s="22" t="s">
        <v>34</v>
      </c>
      <c r="E95" s="23">
        <v>1.0</v>
      </c>
      <c r="F95" s="23">
        <v>2.451828</v>
      </c>
    </row>
    <row r="96">
      <c r="A96" s="22" t="s">
        <v>33</v>
      </c>
      <c r="B96" s="22" t="s">
        <v>33</v>
      </c>
      <c r="C96" s="22" t="s">
        <v>34</v>
      </c>
      <c r="D96" s="22" t="s">
        <v>34</v>
      </c>
      <c r="E96" s="23">
        <v>1.0</v>
      </c>
      <c r="F96" s="23">
        <v>0.695336</v>
      </c>
    </row>
    <row r="97">
      <c r="A97" s="22" t="s">
        <v>33</v>
      </c>
      <c r="B97" s="22" t="s">
        <v>33</v>
      </c>
      <c r="C97" s="22" t="s">
        <v>34</v>
      </c>
      <c r="D97" s="22" t="s">
        <v>34</v>
      </c>
      <c r="E97" s="23">
        <v>1.0</v>
      </c>
      <c r="F97" s="23">
        <v>0.557435</v>
      </c>
    </row>
    <row r="98">
      <c r="A98" s="22" t="s">
        <v>33</v>
      </c>
      <c r="B98" s="22" t="s">
        <v>33</v>
      </c>
      <c r="C98" s="22" t="s">
        <v>34</v>
      </c>
      <c r="D98" s="22" t="s">
        <v>34</v>
      </c>
      <c r="E98" s="23">
        <v>1.0</v>
      </c>
      <c r="F98" s="23">
        <v>0.445149</v>
      </c>
    </row>
    <row r="99">
      <c r="A99" s="22" t="s">
        <v>33</v>
      </c>
      <c r="B99" s="22" t="s">
        <v>33</v>
      </c>
      <c r="C99" s="22" t="s">
        <v>34</v>
      </c>
      <c r="D99" s="22" t="s">
        <v>34</v>
      </c>
      <c r="E99" s="23">
        <v>1.0</v>
      </c>
      <c r="F99" s="23">
        <v>0.558745</v>
      </c>
    </row>
    <row r="100">
      <c r="A100" s="22" t="s">
        <v>33</v>
      </c>
      <c r="B100" s="22" t="s">
        <v>33</v>
      </c>
      <c r="C100" s="22" t="s">
        <v>34</v>
      </c>
      <c r="D100" s="22" t="s">
        <v>34</v>
      </c>
      <c r="E100" s="23">
        <v>1.0</v>
      </c>
      <c r="F100" s="23">
        <v>0.573712</v>
      </c>
    </row>
    <row r="101">
      <c r="A101" s="22" t="s">
        <v>33</v>
      </c>
      <c r="B101" s="22" t="s">
        <v>33</v>
      </c>
      <c r="C101" s="22" t="s">
        <v>34</v>
      </c>
      <c r="D101" s="22" t="s">
        <v>34</v>
      </c>
      <c r="E101" s="23">
        <v>1.0</v>
      </c>
      <c r="F101" s="23">
        <v>5.272367</v>
      </c>
    </row>
    <row r="102">
      <c r="A102" s="22" t="s">
        <v>33</v>
      </c>
      <c r="B102" s="22" t="s">
        <v>33</v>
      </c>
      <c r="C102" s="22" t="s">
        <v>34</v>
      </c>
      <c r="D102" s="22" t="s">
        <v>34</v>
      </c>
      <c r="E102" s="23">
        <v>1.0</v>
      </c>
      <c r="F102" s="23">
        <v>0.727013</v>
      </c>
    </row>
    <row r="103">
      <c r="A103" s="22" t="s">
        <v>33</v>
      </c>
      <c r="B103" s="22" t="s">
        <v>33</v>
      </c>
      <c r="C103" s="22" t="s">
        <v>34</v>
      </c>
      <c r="D103" s="22" t="s">
        <v>34</v>
      </c>
      <c r="E103" s="23">
        <v>1.0</v>
      </c>
      <c r="F103" s="23">
        <v>0.760068</v>
      </c>
    </row>
    <row r="104">
      <c r="A104" s="22" t="s">
        <v>33</v>
      </c>
      <c r="B104" s="22" t="s">
        <v>33</v>
      </c>
      <c r="C104" s="22" t="s">
        <v>34</v>
      </c>
      <c r="D104" s="22" t="s">
        <v>34</v>
      </c>
      <c r="E104" s="23">
        <v>1.0</v>
      </c>
      <c r="F104" s="23">
        <v>0.604236</v>
      </c>
    </row>
    <row r="105">
      <c r="A105" s="22" t="s">
        <v>33</v>
      </c>
      <c r="B105" s="22" t="s">
        <v>33</v>
      </c>
      <c r="C105" s="22" t="s">
        <v>34</v>
      </c>
      <c r="D105" s="22" t="s">
        <v>34</v>
      </c>
      <c r="E105" s="23">
        <v>1.0</v>
      </c>
      <c r="F105" s="23">
        <v>0.526947</v>
      </c>
    </row>
    <row r="106">
      <c r="A106" s="22" t="s">
        <v>33</v>
      </c>
      <c r="B106" s="22" t="s">
        <v>33</v>
      </c>
      <c r="C106" s="22" t="s">
        <v>34</v>
      </c>
      <c r="D106" s="22" t="s">
        <v>34</v>
      </c>
      <c r="E106" s="23">
        <v>1.0</v>
      </c>
      <c r="F106" s="23">
        <v>0.624831</v>
      </c>
    </row>
    <row r="107">
      <c r="A107" s="22" t="s">
        <v>33</v>
      </c>
      <c r="B107" s="22" t="s">
        <v>33</v>
      </c>
      <c r="C107" s="22" t="s">
        <v>34</v>
      </c>
      <c r="D107" s="22" t="s">
        <v>34</v>
      </c>
      <c r="E107" s="23">
        <v>1.0</v>
      </c>
      <c r="F107" s="23">
        <v>1.121401</v>
      </c>
    </row>
    <row r="108">
      <c r="A108" s="22" t="s">
        <v>33</v>
      </c>
      <c r="B108" s="22" t="s">
        <v>33</v>
      </c>
      <c r="C108" s="22" t="s">
        <v>34</v>
      </c>
      <c r="D108" s="22" t="s">
        <v>34</v>
      </c>
      <c r="E108" s="23">
        <v>1.0</v>
      </c>
      <c r="F108" s="23">
        <v>0.538755</v>
      </c>
    </row>
    <row r="109">
      <c r="A109" s="22" t="s">
        <v>33</v>
      </c>
      <c r="B109" s="22" t="s">
        <v>33</v>
      </c>
      <c r="C109" s="22" t="s">
        <v>34</v>
      </c>
      <c r="D109" s="22" t="s">
        <v>34</v>
      </c>
      <c r="E109" s="23">
        <v>1.0</v>
      </c>
      <c r="F109" s="23">
        <v>2.99517</v>
      </c>
    </row>
    <row r="110">
      <c r="A110" s="22" t="s">
        <v>33</v>
      </c>
      <c r="B110" s="22" t="s">
        <v>33</v>
      </c>
      <c r="C110" s="22" t="s">
        <v>34</v>
      </c>
      <c r="D110" s="22" t="s">
        <v>34</v>
      </c>
      <c r="E110" s="23">
        <v>1.0</v>
      </c>
      <c r="F110" s="23">
        <v>0.514698</v>
      </c>
    </row>
    <row r="111">
      <c r="A111" s="22" t="s">
        <v>33</v>
      </c>
      <c r="B111" s="22" t="s">
        <v>33</v>
      </c>
      <c r="C111" s="22" t="s">
        <v>34</v>
      </c>
      <c r="D111" s="22" t="s">
        <v>34</v>
      </c>
      <c r="E111" s="23">
        <v>1.0</v>
      </c>
      <c r="F111" s="23">
        <v>1.477539</v>
      </c>
    </row>
    <row r="112">
      <c r="A112" s="22" t="s">
        <v>33</v>
      </c>
      <c r="B112" s="22" t="s">
        <v>33</v>
      </c>
      <c r="C112" s="22" t="s">
        <v>34</v>
      </c>
      <c r="D112" s="22" t="s">
        <v>34</v>
      </c>
      <c r="E112" s="23">
        <v>1.0</v>
      </c>
      <c r="F112" s="23">
        <v>0.543786</v>
      </c>
    </row>
  </sheetData>
  <autoFilter ref="$A$1:$F$112">
    <sortState ref="A1:F112">
      <sortCondition ref="A1:A112"/>
      <sortCondition ref="B1:B112"/>
      <sortCondition ref="C1:C112"/>
    </sortState>
  </autoFilter>
  <mergeCells count="12">
    <mergeCell ref="H5:I5"/>
    <mergeCell ref="H6:I6"/>
    <mergeCell ref="H7:I7"/>
    <mergeCell ref="H8:I8"/>
    <mergeCell ref="H3:I3"/>
    <mergeCell ref="H4:I4"/>
    <mergeCell ref="H20:I20"/>
    <mergeCell ref="H21:I21"/>
    <mergeCell ref="H22:I22"/>
    <mergeCell ref="H18:I18"/>
    <mergeCell ref="H17:I17"/>
    <mergeCell ref="H19:I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19</v>
      </c>
      <c r="D2" s="22" t="s">
        <v>19</v>
      </c>
      <c r="E2" s="23">
        <v>1.0</v>
      </c>
      <c r="F2" s="23">
        <v>0.871661</v>
      </c>
      <c r="H2" s="22"/>
      <c r="I2" s="22"/>
      <c r="J2" s="21" t="s">
        <v>20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19</v>
      </c>
      <c r="D3" s="22" t="s">
        <v>19</v>
      </c>
      <c r="E3" s="23">
        <v>1.0</v>
      </c>
      <c r="F3" s="23">
        <v>0.550453</v>
      </c>
      <c r="H3" s="22" t="s">
        <v>22</v>
      </c>
      <c r="J3" s="25">
        <f>average(J4:J5)</f>
        <v>0.5789541207</v>
      </c>
      <c r="K3" s="24">
        <v>2.0</v>
      </c>
      <c r="L3" s="25">
        <f>60-K3</f>
        <v>58</v>
      </c>
    </row>
    <row r="4">
      <c r="A4" s="22" t="s">
        <v>18</v>
      </c>
      <c r="B4" s="22" t="s">
        <v>18</v>
      </c>
      <c r="C4" s="22" t="s">
        <v>19</v>
      </c>
      <c r="D4" s="22" t="s">
        <v>19</v>
      </c>
      <c r="E4" s="23">
        <v>1.0</v>
      </c>
      <c r="F4" s="23">
        <v>0.522249</v>
      </c>
      <c r="H4" s="22" t="s">
        <v>23</v>
      </c>
      <c r="J4" s="25">
        <f>average(F2:F30)</f>
        <v>0.6293637241</v>
      </c>
      <c r="K4" s="24">
        <v>1.0</v>
      </c>
      <c r="L4" s="25">
        <f t="shared" ref="L4:L5" si="1">30-K4</f>
        <v>29</v>
      </c>
    </row>
    <row r="5">
      <c r="A5" s="22" t="s">
        <v>18</v>
      </c>
      <c r="B5" s="22" t="s">
        <v>18</v>
      </c>
      <c r="C5" s="22" t="s">
        <v>19</v>
      </c>
      <c r="D5" s="22" t="s">
        <v>19</v>
      </c>
      <c r="E5" s="23">
        <v>1.0</v>
      </c>
      <c r="F5" s="23">
        <v>0.362992</v>
      </c>
      <c r="H5" s="22" t="s">
        <v>24</v>
      </c>
      <c r="J5" s="25">
        <f>average(F86:F114)</f>
        <v>0.5285445172</v>
      </c>
      <c r="K5" s="24">
        <v>1.0</v>
      </c>
      <c r="L5" s="25">
        <f t="shared" si="1"/>
        <v>29</v>
      </c>
    </row>
    <row r="6">
      <c r="A6" s="22" t="s">
        <v>18</v>
      </c>
      <c r="B6" s="22" t="s">
        <v>18</v>
      </c>
      <c r="C6" s="22" t="s">
        <v>19</v>
      </c>
      <c r="D6" s="22" t="s">
        <v>19</v>
      </c>
      <c r="E6" s="23">
        <v>1.0</v>
      </c>
      <c r="F6" s="23">
        <v>0.934074</v>
      </c>
      <c r="H6" s="22" t="s">
        <v>25</v>
      </c>
      <c r="J6" s="25">
        <f>average(J7:J8)</f>
        <v>0.6679541267</v>
      </c>
      <c r="K6" s="24">
        <v>5.0</v>
      </c>
      <c r="L6" s="25">
        <f>60-K6</f>
        <v>55</v>
      </c>
    </row>
    <row r="7">
      <c r="A7" s="22" t="s">
        <v>18</v>
      </c>
      <c r="B7" s="22" t="s">
        <v>18</v>
      </c>
      <c r="C7" s="22" t="s">
        <v>19</v>
      </c>
      <c r="D7" s="22" t="s">
        <v>19</v>
      </c>
      <c r="E7" s="23">
        <v>1.0</v>
      </c>
      <c r="F7" s="23">
        <v>0.526326</v>
      </c>
      <c r="H7" s="22" t="s">
        <v>26</v>
      </c>
      <c r="J7" s="25">
        <f>average(F31:F60)</f>
        <v>0.7030679333</v>
      </c>
      <c r="K7" s="24">
        <v>0.0</v>
      </c>
      <c r="L7" s="25">
        <f t="shared" ref="L7:L8" si="2">30-K7</f>
        <v>30</v>
      </c>
    </row>
    <row r="8">
      <c r="A8" s="22" t="s">
        <v>18</v>
      </c>
      <c r="B8" s="22" t="s">
        <v>18</v>
      </c>
      <c r="C8" s="22" t="s">
        <v>19</v>
      </c>
      <c r="D8" s="22" t="s">
        <v>19</v>
      </c>
      <c r="E8" s="23">
        <v>1.0</v>
      </c>
      <c r="F8" s="23">
        <v>0.375656</v>
      </c>
      <c r="H8" s="22" t="s">
        <v>27</v>
      </c>
      <c r="J8" s="25">
        <f>average(F61:F85)</f>
        <v>0.63284032</v>
      </c>
      <c r="K8" s="24">
        <v>5.0</v>
      </c>
      <c r="L8" s="25">
        <f t="shared" si="2"/>
        <v>25</v>
      </c>
    </row>
    <row r="9">
      <c r="A9" s="22" t="s">
        <v>18</v>
      </c>
      <c r="B9" s="22" t="s">
        <v>18</v>
      </c>
      <c r="C9" s="22" t="s">
        <v>19</v>
      </c>
      <c r="D9" s="22" t="s">
        <v>19</v>
      </c>
      <c r="E9" s="23">
        <v>1.0</v>
      </c>
      <c r="F9" s="23">
        <v>0.372095</v>
      </c>
      <c r="K9" s="26"/>
    </row>
    <row r="10">
      <c r="A10" s="22" t="s">
        <v>18</v>
      </c>
      <c r="B10" s="22" t="s">
        <v>18</v>
      </c>
      <c r="C10" s="22" t="s">
        <v>19</v>
      </c>
      <c r="D10" s="22" t="s">
        <v>19</v>
      </c>
      <c r="E10" s="23">
        <v>1.0</v>
      </c>
      <c r="F10" s="23">
        <v>0.606005</v>
      </c>
      <c r="I10" s="24" t="s">
        <v>28</v>
      </c>
      <c r="J10" s="24" t="s">
        <v>29</v>
      </c>
      <c r="K10" s="26"/>
    </row>
    <row r="11">
      <c r="A11" s="22" t="s">
        <v>18</v>
      </c>
      <c r="B11" s="22" t="s">
        <v>18</v>
      </c>
      <c r="C11" s="22" t="s">
        <v>19</v>
      </c>
      <c r="D11" s="22" t="s">
        <v>19</v>
      </c>
      <c r="E11" s="23">
        <v>1.0</v>
      </c>
      <c r="F11" s="23">
        <v>0.549121</v>
      </c>
      <c r="H11" s="24" t="s">
        <v>30</v>
      </c>
      <c r="I11" s="25">
        <f>J4</f>
        <v>0.6293637241</v>
      </c>
      <c r="J11" s="25">
        <f>J7</f>
        <v>0.7030679333</v>
      </c>
      <c r="K11" s="26"/>
    </row>
    <row r="12">
      <c r="A12" s="22" t="s">
        <v>18</v>
      </c>
      <c r="B12" s="22" t="s">
        <v>18</v>
      </c>
      <c r="C12" s="22" t="s">
        <v>19</v>
      </c>
      <c r="D12" s="22" t="s">
        <v>19</v>
      </c>
      <c r="E12" s="23">
        <v>1.0</v>
      </c>
      <c r="F12" s="23">
        <v>0.505737</v>
      </c>
      <c r="H12" s="24" t="s">
        <v>31</v>
      </c>
      <c r="I12" s="25">
        <f>J8</f>
        <v>0.63284032</v>
      </c>
      <c r="J12" s="25">
        <f>J5</f>
        <v>0.5285445172</v>
      </c>
      <c r="K12" s="26"/>
    </row>
    <row r="13">
      <c r="A13" s="22" t="s">
        <v>18</v>
      </c>
      <c r="B13" s="22" t="s">
        <v>18</v>
      </c>
      <c r="C13" s="22" t="s">
        <v>19</v>
      </c>
      <c r="D13" s="22" t="s">
        <v>19</v>
      </c>
      <c r="E13" s="23">
        <v>1.0</v>
      </c>
      <c r="F13" s="23">
        <v>0.531632</v>
      </c>
      <c r="H13" s="26"/>
      <c r="I13" s="26"/>
      <c r="J13" s="26"/>
      <c r="K13" s="26"/>
    </row>
    <row r="14">
      <c r="A14" s="22" t="s">
        <v>18</v>
      </c>
      <c r="B14" s="22" t="s">
        <v>18</v>
      </c>
      <c r="C14" s="22" t="s">
        <v>19</v>
      </c>
      <c r="D14" s="22" t="s">
        <v>19</v>
      </c>
      <c r="E14" s="23">
        <v>1.0</v>
      </c>
      <c r="F14" s="23">
        <v>0.5028</v>
      </c>
      <c r="H14" s="24" t="s">
        <v>32</v>
      </c>
      <c r="K14" s="26"/>
    </row>
    <row r="15">
      <c r="A15" s="22" t="s">
        <v>18</v>
      </c>
      <c r="B15" s="22" t="s">
        <v>18</v>
      </c>
      <c r="C15" s="22" t="s">
        <v>19</v>
      </c>
      <c r="D15" s="22" t="s">
        <v>19</v>
      </c>
      <c r="E15" s="23">
        <v>1.0</v>
      </c>
      <c r="F15" s="23">
        <v>0.447544</v>
      </c>
      <c r="H15" s="22" t="s">
        <v>22</v>
      </c>
      <c r="J15" s="25">
        <f>L3/60*100</f>
        <v>96.66666667</v>
      </c>
      <c r="K15" s="26"/>
    </row>
    <row r="16">
      <c r="A16" s="22" t="s">
        <v>18</v>
      </c>
      <c r="B16" s="22" t="s">
        <v>18</v>
      </c>
      <c r="C16" s="22" t="s">
        <v>19</v>
      </c>
      <c r="D16" s="22" t="s">
        <v>19</v>
      </c>
      <c r="E16" s="23">
        <v>1.0</v>
      </c>
      <c r="F16" s="23">
        <v>0.498559</v>
      </c>
      <c r="H16" s="22" t="s">
        <v>23</v>
      </c>
      <c r="J16" s="25">
        <f t="shared" ref="J16:J17" si="3">L4/30*100</f>
        <v>96.66666667</v>
      </c>
      <c r="K16" s="26"/>
    </row>
    <row r="17">
      <c r="A17" s="22" t="s">
        <v>18</v>
      </c>
      <c r="B17" s="22" t="s">
        <v>18</v>
      </c>
      <c r="C17" s="22" t="s">
        <v>19</v>
      </c>
      <c r="D17" s="22" t="s">
        <v>19</v>
      </c>
      <c r="E17" s="23">
        <v>1.0</v>
      </c>
      <c r="F17" s="23">
        <v>0.577305</v>
      </c>
      <c r="H17" s="22" t="s">
        <v>24</v>
      </c>
      <c r="J17" s="24">
        <f t="shared" si="3"/>
        <v>96.66666667</v>
      </c>
      <c r="K17" s="26"/>
    </row>
    <row r="18">
      <c r="A18" s="22" t="s">
        <v>18</v>
      </c>
      <c r="B18" s="22" t="s">
        <v>18</v>
      </c>
      <c r="C18" s="22" t="s">
        <v>19</v>
      </c>
      <c r="D18" s="22" t="s">
        <v>19</v>
      </c>
      <c r="E18" s="23">
        <v>1.0</v>
      </c>
      <c r="F18" s="23">
        <v>0.416475</v>
      </c>
      <c r="H18" s="22" t="s">
        <v>25</v>
      </c>
      <c r="J18" s="25">
        <f>L6/60*100</f>
        <v>91.66666667</v>
      </c>
      <c r="K18" s="26"/>
    </row>
    <row r="19">
      <c r="A19" s="22" t="s">
        <v>18</v>
      </c>
      <c r="B19" s="22" t="s">
        <v>18</v>
      </c>
      <c r="C19" s="22" t="s">
        <v>19</v>
      </c>
      <c r="D19" s="22" t="s">
        <v>19</v>
      </c>
      <c r="E19" s="23">
        <v>1.0</v>
      </c>
      <c r="F19" s="23">
        <v>2.216411</v>
      </c>
      <c r="H19" s="22" t="s">
        <v>26</v>
      </c>
      <c r="J19" s="24">
        <f t="shared" ref="J19:J20" si="4">L7/30*100</f>
        <v>100</v>
      </c>
      <c r="K19" s="26"/>
    </row>
    <row r="20">
      <c r="A20" s="22" t="s">
        <v>18</v>
      </c>
      <c r="B20" s="22" t="s">
        <v>18</v>
      </c>
      <c r="C20" s="22" t="s">
        <v>19</v>
      </c>
      <c r="D20" s="22" t="s">
        <v>19</v>
      </c>
      <c r="E20" s="23">
        <v>1.0</v>
      </c>
      <c r="F20" s="23">
        <v>0.516118</v>
      </c>
      <c r="H20" s="22" t="s">
        <v>27</v>
      </c>
      <c r="J20" s="24">
        <f t="shared" si="4"/>
        <v>83.33333333</v>
      </c>
    </row>
    <row r="21">
      <c r="A21" s="22" t="s">
        <v>18</v>
      </c>
      <c r="B21" s="22" t="s">
        <v>18</v>
      </c>
      <c r="C21" s="22" t="s">
        <v>19</v>
      </c>
      <c r="D21" s="22" t="s">
        <v>19</v>
      </c>
      <c r="E21" s="23">
        <v>1.0</v>
      </c>
      <c r="F21" s="23">
        <v>0.55894</v>
      </c>
    </row>
    <row r="22">
      <c r="A22" s="22" t="s">
        <v>18</v>
      </c>
      <c r="B22" s="22" t="s">
        <v>18</v>
      </c>
      <c r="C22" s="22" t="s">
        <v>19</v>
      </c>
      <c r="D22" s="22" t="s">
        <v>19</v>
      </c>
      <c r="E22" s="23">
        <v>1.0</v>
      </c>
      <c r="F22" s="23">
        <v>0.622399</v>
      </c>
    </row>
    <row r="23">
      <c r="A23" s="22" t="s">
        <v>18</v>
      </c>
      <c r="B23" s="22" t="s">
        <v>18</v>
      </c>
      <c r="C23" s="22" t="s">
        <v>19</v>
      </c>
      <c r="D23" s="22" t="s">
        <v>19</v>
      </c>
      <c r="E23" s="23">
        <v>1.0</v>
      </c>
      <c r="F23" s="23">
        <v>0.572895</v>
      </c>
    </row>
    <row r="24">
      <c r="A24" s="22" t="s">
        <v>18</v>
      </c>
      <c r="B24" s="22" t="s">
        <v>18</v>
      </c>
      <c r="C24" s="22" t="s">
        <v>19</v>
      </c>
      <c r="D24" s="22" t="s">
        <v>19</v>
      </c>
      <c r="E24" s="23">
        <v>1.0</v>
      </c>
      <c r="F24" s="23">
        <v>0.484181</v>
      </c>
    </row>
    <row r="25">
      <c r="A25" s="22" t="s">
        <v>18</v>
      </c>
      <c r="B25" s="22" t="s">
        <v>18</v>
      </c>
      <c r="C25" s="22" t="s">
        <v>19</v>
      </c>
      <c r="D25" s="22" t="s">
        <v>19</v>
      </c>
      <c r="E25" s="23">
        <v>1.0</v>
      </c>
      <c r="F25" s="23">
        <v>0.580882</v>
      </c>
    </row>
    <row r="26">
      <c r="A26" s="22" t="s">
        <v>18</v>
      </c>
      <c r="B26" s="22" t="s">
        <v>18</v>
      </c>
      <c r="C26" s="22" t="s">
        <v>19</v>
      </c>
      <c r="D26" s="22" t="s">
        <v>19</v>
      </c>
      <c r="E26" s="23">
        <v>1.0</v>
      </c>
      <c r="F26" s="23">
        <v>0.717669</v>
      </c>
    </row>
    <row r="27">
      <c r="A27" s="22" t="s">
        <v>18</v>
      </c>
      <c r="B27" s="22" t="s">
        <v>18</v>
      </c>
      <c r="C27" s="22" t="s">
        <v>19</v>
      </c>
      <c r="D27" s="22" t="s">
        <v>19</v>
      </c>
      <c r="E27" s="23">
        <v>1.0</v>
      </c>
      <c r="F27" s="23">
        <v>1.332613</v>
      </c>
    </row>
    <row r="28">
      <c r="A28" s="22" t="s">
        <v>18</v>
      </c>
      <c r="B28" s="22" t="s">
        <v>18</v>
      </c>
      <c r="C28" s="22" t="s">
        <v>19</v>
      </c>
      <c r="D28" s="22" t="s">
        <v>19</v>
      </c>
      <c r="E28" s="23">
        <v>1.0</v>
      </c>
      <c r="F28" s="23">
        <v>0.542717</v>
      </c>
    </row>
    <row r="29">
      <c r="A29" s="22" t="s">
        <v>18</v>
      </c>
      <c r="B29" s="22" t="s">
        <v>18</v>
      </c>
      <c r="C29" s="22" t="s">
        <v>19</v>
      </c>
      <c r="D29" s="22" t="s">
        <v>19</v>
      </c>
      <c r="E29" s="23">
        <v>1.0</v>
      </c>
      <c r="F29" s="23">
        <v>0.45686</v>
      </c>
    </row>
    <row r="30">
      <c r="A30" s="22" t="s">
        <v>18</v>
      </c>
      <c r="B30" s="22" t="s">
        <v>18</v>
      </c>
      <c r="C30" s="22" t="s">
        <v>19</v>
      </c>
      <c r="D30" s="22" t="s">
        <v>19</v>
      </c>
      <c r="E30" s="23">
        <v>1.0</v>
      </c>
      <c r="F30" s="23">
        <v>0.499179</v>
      </c>
    </row>
    <row r="31">
      <c r="A31" s="22" t="s">
        <v>18</v>
      </c>
      <c r="B31" s="22" t="s">
        <v>33</v>
      </c>
      <c r="C31" s="22" t="s">
        <v>34</v>
      </c>
      <c r="D31" s="22" t="s">
        <v>19</v>
      </c>
      <c r="E31" s="23">
        <v>1.0</v>
      </c>
      <c r="F31" s="23">
        <v>0.548502</v>
      </c>
    </row>
    <row r="32">
      <c r="A32" s="22" t="s">
        <v>18</v>
      </c>
      <c r="B32" s="22" t="s">
        <v>33</v>
      </c>
      <c r="C32" s="22" t="s">
        <v>34</v>
      </c>
      <c r="D32" s="22" t="s">
        <v>19</v>
      </c>
      <c r="E32" s="23">
        <v>1.0</v>
      </c>
      <c r="F32" s="23">
        <v>0.462688</v>
      </c>
    </row>
    <row r="33">
      <c r="A33" s="22" t="s">
        <v>18</v>
      </c>
      <c r="B33" s="22" t="s">
        <v>33</v>
      </c>
      <c r="C33" s="22" t="s">
        <v>34</v>
      </c>
      <c r="D33" s="22" t="s">
        <v>19</v>
      </c>
      <c r="E33" s="23">
        <v>1.0</v>
      </c>
      <c r="F33" s="23">
        <v>0.548289</v>
      </c>
    </row>
    <row r="34">
      <c r="A34" s="22" t="s">
        <v>18</v>
      </c>
      <c r="B34" s="22" t="s">
        <v>33</v>
      </c>
      <c r="C34" s="22" t="s">
        <v>34</v>
      </c>
      <c r="D34" s="22" t="s">
        <v>19</v>
      </c>
      <c r="E34" s="23">
        <v>1.0</v>
      </c>
      <c r="F34" s="23">
        <v>0.548717</v>
      </c>
    </row>
    <row r="35">
      <c r="A35" s="22" t="s">
        <v>18</v>
      </c>
      <c r="B35" s="22" t="s">
        <v>33</v>
      </c>
      <c r="C35" s="22" t="s">
        <v>34</v>
      </c>
      <c r="D35" s="22" t="s">
        <v>19</v>
      </c>
      <c r="E35" s="23">
        <v>1.0</v>
      </c>
      <c r="F35" s="23">
        <v>0.475516</v>
      </c>
    </row>
    <row r="36">
      <c r="A36" s="22" t="s">
        <v>18</v>
      </c>
      <c r="B36" s="22" t="s">
        <v>33</v>
      </c>
      <c r="C36" s="22" t="s">
        <v>34</v>
      </c>
      <c r="D36" s="22" t="s">
        <v>19</v>
      </c>
      <c r="E36" s="23">
        <v>1.0</v>
      </c>
      <c r="F36" s="23">
        <v>0.45567</v>
      </c>
    </row>
    <row r="37">
      <c r="A37" s="22" t="s">
        <v>18</v>
      </c>
      <c r="B37" s="22" t="s">
        <v>33</v>
      </c>
      <c r="C37" s="22" t="s">
        <v>34</v>
      </c>
      <c r="D37" s="22" t="s">
        <v>19</v>
      </c>
      <c r="E37" s="23">
        <v>1.0</v>
      </c>
      <c r="F37" s="23">
        <v>0.531347</v>
      </c>
    </row>
    <row r="38">
      <c r="A38" s="22" t="s">
        <v>18</v>
      </c>
      <c r="B38" s="22" t="s">
        <v>33</v>
      </c>
      <c r="C38" s="22" t="s">
        <v>34</v>
      </c>
      <c r="D38" s="22" t="s">
        <v>19</v>
      </c>
      <c r="E38" s="23">
        <v>1.0</v>
      </c>
      <c r="F38" s="23">
        <v>0.540031</v>
      </c>
    </row>
    <row r="39">
      <c r="A39" s="22" t="s">
        <v>18</v>
      </c>
      <c r="B39" s="22" t="s">
        <v>33</v>
      </c>
      <c r="C39" s="22" t="s">
        <v>34</v>
      </c>
      <c r="D39" s="22" t="s">
        <v>19</v>
      </c>
      <c r="E39" s="23">
        <v>1.0</v>
      </c>
      <c r="F39" s="23">
        <v>0.555652</v>
      </c>
    </row>
    <row r="40">
      <c r="A40" s="22" t="s">
        <v>18</v>
      </c>
      <c r="B40" s="22" t="s">
        <v>33</v>
      </c>
      <c r="C40" s="22" t="s">
        <v>34</v>
      </c>
      <c r="D40" s="22" t="s">
        <v>19</v>
      </c>
      <c r="E40" s="23">
        <v>1.0</v>
      </c>
      <c r="F40" s="23">
        <v>0.833045</v>
      </c>
    </row>
    <row r="41">
      <c r="A41" s="22" t="s">
        <v>18</v>
      </c>
      <c r="B41" s="22" t="s">
        <v>33</v>
      </c>
      <c r="C41" s="22" t="s">
        <v>34</v>
      </c>
      <c r="D41" s="22" t="s">
        <v>19</v>
      </c>
      <c r="E41" s="23">
        <v>1.0</v>
      </c>
      <c r="F41" s="23">
        <v>1.105498</v>
      </c>
    </row>
    <row r="42">
      <c r="A42" s="22" t="s">
        <v>18</v>
      </c>
      <c r="B42" s="22" t="s">
        <v>33</v>
      </c>
      <c r="C42" s="22" t="s">
        <v>34</v>
      </c>
      <c r="D42" s="22" t="s">
        <v>19</v>
      </c>
      <c r="E42" s="23">
        <v>1.0</v>
      </c>
      <c r="F42" s="23">
        <v>0.578416</v>
      </c>
    </row>
    <row r="43">
      <c r="A43" s="22" t="s">
        <v>18</v>
      </c>
      <c r="B43" s="22" t="s">
        <v>33</v>
      </c>
      <c r="C43" s="22" t="s">
        <v>34</v>
      </c>
      <c r="D43" s="22" t="s">
        <v>19</v>
      </c>
      <c r="E43" s="23">
        <v>1.0</v>
      </c>
      <c r="F43" s="23">
        <v>2.385193</v>
      </c>
    </row>
    <row r="44">
      <c r="A44" s="22" t="s">
        <v>18</v>
      </c>
      <c r="B44" s="22" t="s">
        <v>33</v>
      </c>
      <c r="C44" s="22" t="s">
        <v>34</v>
      </c>
      <c r="D44" s="22" t="s">
        <v>19</v>
      </c>
      <c r="E44" s="23">
        <v>1.0</v>
      </c>
      <c r="F44" s="23">
        <v>0.383002</v>
      </c>
    </row>
    <row r="45">
      <c r="A45" s="22" t="s">
        <v>18</v>
      </c>
      <c r="B45" s="22" t="s">
        <v>33</v>
      </c>
      <c r="C45" s="22" t="s">
        <v>34</v>
      </c>
      <c r="D45" s="22" t="s">
        <v>19</v>
      </c>
      <c r="E45" s="23">
        <v>1.0</v>
      </c>
      <c r="F45" s="23">
        <v>0.492836</v>
      </c>
    </row>
    <row r="46">
      <c r="A46" s="22" t="s">
        <v>18</v>
      </c>
      <c r="B46" s="22" t="s">
        <v>33</v>
      </c>
      <c r="C46" s="22" t="s">
        <v>34</v>
      </c>
      <c r="D46" s="22" t="s">
        <v>19</v>
      </c>
      <c r="E46" s="23">
        <v>1.0</v>
      </c>
      <c r="F46" s="23">
        <v>0.435253</v>
      </c>
    </row>
    <row r="47">
      <c r="A47" s="22" t="s">
        <v>18</v>
      </c>
      <c r="B47" s="22" t="s">
        <v>33</v>
      </c>
      <c r="C47" s="22" t="s">
        <v>34</v>
      </c>
      <c r="D47" s="22" t="s">
        <v>19</v>
      </c>
      <c r="E47" s="23">
        <v>1.0</v>
      </c>
      <c r="F47" s="23">
        <v>2.123574</v>
      </c>
    </row>
    <row r="48">
      <c r="A48" s="22" t="s">
        <v>18</v>
      </c>
      <c r="B48" s="22" t="s">
        <v>33</v>
      </c>
      <c r="C48" s="22" t="s">
        <v>34</v>
      </c>
      <c r="D48" s="22" t="s">
        <v>19</v>
      </c>
      <c r="E48" s="23">
        <v>1.0</v>
      </c>
      <c r="F48" s="23">
        <v>0.538944</v>
      </c>
    </row>
    <row r="49">
      <c r="A49" s="22" t="s">
        <v>18</v>
      </c>
      <c r="B49" s="22" t="s">
        <v>33</v>
      </c>
      <c r="C49" s="22" t="s">
        <v>34</v>
      </c>
      <c r="D49" s="22" t="s">
        <v>19</v>
      </c>
      <c r="E49" s="23">
        <v>1.0</v>
      </c>
      <c r="F49" s="23">
        <v>0.57486</v>
      </c>
    </row>
    <row r="50">
      <c r="A50" s="22" t="s">
        <v>18</v>
      </c>
      <c r="B50" s="22" t="s">
        <v>33</v>
      </c>
      <c r="C50" s="22" t="s">
        <v>34</v>
      </c>
      <c r="D50" s="22" t="s">
        <v>19</v>
      </c>
      <c r="E50" s="23">
        <v>1.0</v>
      </c>
      <c r="F50" s="23">
        <v>0.477569</v>
      </c>
    </row>
    <row r="51">
      <c r="A51" s="22" t="s">
        <v>18</v>
      </c>
      <c r="B51" s="22" t="s">
        <v>33</v>
      </c>
      <c r="C51" s="22" t="s">
        <v>34</v>
      </c>
      <c r="D51" s="22" t="s">
        <v>19</v>
      </c>
      <c r="E51" s="23">
        <v>1.0</v>
      </c>
      <c r="F51" s="23">
        <v>0.541855</v>
      </c>
    </row>
    <row r="52">
      <c r="A52" s="22" t="s">
        <v>18</v>
      </c>
      <c r="B52" s="22" t="s">
        <v>33</v>
      </c>
      <c r="C52" s="22" t="s">
        <v>34</v>
      </c>
      <c r="D52" s="22" t="s">
        <v>19</v>
      </c>
      <c r="E52" s="23">
        <v>1.0</v>
      </c>
      <c r="F52" s="23">
        <v>0.638343</v>
      </c>
    </row>
    <row r="53">
      <c r="A53" s="22" t="s">
        <v>18</v>
      </c>
      <c r="B53" s="22" t="s">
        <v>33</v>
      </c>
      <c r="C53" s="22" t="s">
        <v>34</v>
      </c>
      <c r="D53" s="22" t="s">
        <v>19</v>
      </c>
      <c r="E53" s="23">
        <v>1.0</v>
      </c>
      <c r="F53" s="23">
        <v>0.457898</v>
      </c>
    </row>
    <row r="54">
      <c r="A54" s="22" t="s">
        <v>18</v>
      </c>
      <c r="B54" s="22" t="s">
        <v>33</v>
      </c>
      <c r="C54" s="22" t="s">
        <v>34</v>
      </c>
      <c r="D54" s="22" t="s">
        <v>19</v>
      </c>
      <c r="E54" s="23">
        <v>1.0</v>
      </c>
      <c r="F54" s="23">
        <v>0.408693</v>
      </c>
    </row>
    <row r="55">
      <c r="A55" s="22" t="s">
        <v>18</v>
      </c>
      <c r="B55" s="22" t="s">
        <v>33</v>
      </c>
      <c r="C55" s="22" t="s">
        <v>34</v>
      </c>
      <c r="D55" s="22" t="s">
        <v>19</v>
      </c>
      <c r="E55" s="23">
        <v>1.0</v>
      </c>
      <c r="F55" s="23">
        <v>0.502189</v>
      </c>
    </row>
    <row r="56">
      <c r="A56" s="22" t="s">
        <v>18</v>
      </c>
      <c r="B56" s="22" t="s">
        <v>33</v>
      </c>
      <c r="C56" s="22" t="s">
        <v>34</v>
      </c>
      <c r="D56" s="22" t="s">
        <v>19</v>
      </c>
      <c r="E56" s="23">
        <v>1.0</v>
      </c>
      <c r="F56" s="23">
        <v>0.557412</v>
      </c>
    </row>
    <row r="57">
      <c r="A57" s="22" t="s">
        <v>18</v>
      </c>
      <c r="B57" s="22" t="s">
        <v>33</v>
      </c>
      <c r="C57" s="22" t="s">
        <v>34</v>
      </c>
      <c r="D57" s="22" t="s">
        <v>19</v>
      </c>
      <c r="E57" s="23">
        <v>1.0</v>
      </c>
      <c r="F57" s="23">
        <v>0.449203</v>
      </c>
    </row>
    <row r="58">
      <c r="A58" s="22" t="s">
        <v>18</v>
      </c>
      <c r="B58" s="22" t="s">
        <v>33</v>
      </c>
      <c r="C58" s="22" t="s">
        <v>34</v>
      </c>
      <c r="D58" s="22" t="s">
        <v>19</v>
      </c>
      <c r="E58" s="23">
        <v>1.0</v>
      </c>
      <c r="F58" s="23">
        <v>1.167196</v>
      </c>
    </row>
    <row r="59">
      <c r="A59" s="22" t="s">
        <v>18</v>
      </c>
      <c r="B59" s="22" t="s">
        <v>33</v>
      </c>
      <c r="C59" s="22" t="s">
        <v>34</v>
      </c>
      <c r="D59" s="22" t="s">
        <v>19</v>
      </c>
      <c r="E59" s="23">
        <v>1.0</v>
      </c>
      <c r="F59" s="23">
        <v>1.211265</v>
      </c>
    </row>
    <row r="60">
      <c r="A60" s="22" t="s">
        <v>18</v>
      </c>
      <c r="B60" s="22" t="s">
        <v>33</v>
      </c>
      <c r="C60" s="22" t="s">
        <v>34</v>
      </c>
      <c r="D60" s="22" t="s">
        <v>19</v>
      </c>
      <c r="E60" s="23">
        <v>1.0</v>
      </c>
      <c r="F60" s="23">
        <v>0.563382</v>
      </c>
    </row>
    <row r="61">
      <c r="A61" s="22" t="s">
        <v>33</v>
      </c>
      <c r="B61" s="22" t="s">
        <v>18</v>
      </c>
      <c r="C61" s="22" t="s">
        <v>34</v>
      </c>
      <c r="D61" s="22" t="s">
        <v>19</v>
      </c>
      <c r="E61" s="23">
        <v>1.0</v>
      </c>
      <c r="F61" s="23">
        <v>0.495221</v>
      </c>
    </row>
    <row r="62">
      <c r="A62" s="22" t="s">
        <v>33</v>
      </c>
      <c r="B62" s="22" t="s">
        <v>18</v>
      </c>
      <c r="C62" s="22" t="s">
        <v>34</v>
      </c>
      <c r="D62" s="22" t="s">
        <v>19</v>
      </c>
      <c r="E62" s="23">
        <v>1.0</v>
      </c>
      <c r="F62" s="23">
        <v>0.48121</v>
      </c>
    </row>
    <row r="63">
      <c r="A63" s="22" t="s">
        <v>33</v>
      </c>
      <c r="B63" s="22" t="s">
        <v>18</v>
      </c>
      <c r="C63" s="22" t="s">
        <v>34</v>
      </c>
      <c r="D63" s="22" t="s">
        <v>19</v>
      </c>
      <c r="E63" s="23">
        <v>1.0</v>
      </c>
      <c r="F63" s="23">
        <v>0.429243</v>
      </c>
    </row>
    <row r="64">
      <c r="A64" s="22" t="s">
        <v>33</v>
      </c>
      <c r="B64" s="22" t="s">
        <v>18</v>
      </c>
      <c r="C64" s="22" t="s">
        <v>34</v>
      </c>
      <c r="D64" s="22" t="s">
        <v>19</v>
      </c>
      <c r="E64" s="23">
        <v>1.0</v>
      </c>
      <c r="F64" s="23">
        <v>0.472404</v>
      </c>
    </row>
    <row r="65">
      <c r="A65" s="22" t="s">
        <v>33</v>
      </c>
      <c r="B65" s="22" t="s">
        <v>18</v>
      </c>
      <c r="C65" s="22" t="s">
        <v>34</v>
      </c>
      <c r="D65" s="22" t="s">
        <v>19</v>
      </c>
      <c r="E65" s="23">
        <v>1.0</v>
      </c>
      <c r="F65" s="23">
        <v>0.508561</v>
      </c>
    </row>
    <row r="66">
      <c r="A66" s="22" t="s">
        <v>33</v>
      </c>
      <c r="B66" s="22" t="s">
        <v>18</v>
      </c>
      <c r="C66" s="22" t="s">
        <v>34</v>
      </c>
      <c r="D66" s="22" t="s">
        <v>19</v>
      </c>
      <c r="E66" s="23">
        <v>1.0</v>
      </c>
      <c r="F66" s="23">
        <v>0.543462</v>
      </c>
    </row>
    <row r="67">
      <c r="A67" s="22" t="s">
        <v>33</v>
      </c>
      <c r="B67" s="22" t="s">
        <v>18</v>
      </c>
      <c r="C67" s="22" t="s">
        <v>34</v>
      </c>
      <c r="D67" s="22" t="s">
        <v>19</v>
      </c>
      <c r="E67" s="23">
        <v>1.0</v>
      </c>
      <c r="F67" s="23">
        <v>0.444582</v>
      </c>
    </row>
    <row r="68">
      <c r="A68" s="22" t="s">
        <v>33</v>
      </c>
      <c r="B68" s="22" t="s">
        <v>18</v>
      </c>
      <c r="C68" s="22" t="s">
        <v>34</v>
      </c>
      <c r="D68" s="22" t="s">
        <v>19</v>
      </c>
      <c r="E68" s="23">
        <v>1.0</v>
      </c>
      <c r="F68" s="23">
        <v>2.825188</v>
      </c>
    </row>
    <row r="69">
      <c r="A69" s="22" t="s">
        <v>33</v>
      </c>
      <c r="B69" s="22" t="s">
        <v>18</v>
      </c>
      <c r="C69" s="22" t="s">
        <v>34</v>
      </c>
      <c r="D69" s="22" t="s">
        <v>19</v>
      </c>
      <c r="E69" s="23">
        <v>1.0</v>
      </c>
      <c r="F69" s="23">
        <v>0.500462</v>
      </c>
    </row>
    <row r="70">
      <c r="A70" s="22" t="s">
        <v>33</v>
      </c>
      <c r="B70" s="22" t="s">
        <v>18</v>
      </c>
      <c r="C70" s="22" t="s">
        <v>34</v>
      </c>
      <c r="D70" s="22" t="s">
        <v>19</v>
      </c>
      <c r="E70" s="23">
        <v>1.0</v>
      </c>
      <c r="F70" s="23">
        <v>0.407193</v>
      </c>
    </row>
    <row r="71">
      <c r="A71" s="22" t="s">
        <v>33</v>
      </c>
      <c r="B71" s="22" t="s">
        <v>18</v>
      </c>
      <c r="C71" s="22" t="s">
        <v>34</v>
      </c>
      <c r="D71" s="22" t="s">
        <v>19</v>
      </c>
      <c r="E71" s="23">
        <v>1.0</v>
      </c>
      <c r="F71" s="23">
        <v>0.606009</v>
      </c>
    </row>
    <row r="72">
      <c r="A72" s="22" t="s">
        <v>33</v>
      </c>
      <c r="B72" s="22" t="s">
        <v>18</v>
      </c>
      <c r="C72" s="22" t="s">
        <v>34</v>
      </c>
      <c r="D72" s="22" t="s">
        <v>19</v>
      </c>
      <c r="E72" s="23">
        <v>1.0</v>
      </c>
      <c r="F72" s="23">
        <v>0.623096</v>
      </c>
    </row>
    <row r="73">
      <c r="A73" s="22" t="s">
        <v>33</v>
      </c>
      <c r="B73" s="22" t="s">
        <v>18</v>
      </c>
      <c r="C73" s="22" t="s">
        <v>34</v>
      </c>
      <c r="D73" s="22" t="s">
        <v>19</v>
      </c>
      <c r="E73" s="23">
        <v>1.0</v>
      </c>
      <c r="F73" s="23">
        <v>0.589239</v>
      </c>
    </row>
    <row r="74">
      <c r="A74" s="22" t="s">
        <v>33</v>
      </c>
      <c r="B74" s="22" t="s">
        <v>18</v>
      </c>
      <c r="C74" s="22" t="s">
        <v>34</v>
      </c>
      <c r="D74" s="22" t="s">
        <v>19</v>
      </c>
      <c r="E74" s="23">
        <v>1.0</v>
      </c>
      <c r="F74" s="23">
        <v>0.529242</v>
      </c>
    </row>
    <row r="75">
      <c r="A75" s="22" t="s">
        <v>33</v>
      </c>
      <c r="B75" s="22" t="s">
        <v>18</v>
      </c>
      <c r="C75" s="22" t="s">
        <v>34</v>
      </c>
      <c r="D75" s="22" t="s">
        <v>19</v>
      </c>
      <c r="E75" s="23">
        <v>1.0</v>
      </c>
      <c r="F75" s="23">
        <v>0.546401</v>
      </c>
    </row>
    <row r="76">
      <c r="A76" s="22" t="s">
        <v>33</v>
      </c>
      <c r="B76" s="22" t="s">
        <v>18</v>
      </c>
      <c r="C76" s="22" t="s">
        <v>34</v>
      </c>
      <c r="D76" s="22" t="s">
        <v>19</v>
      </c>
      <c r="E76" s="23">
        <v>1.0</v>
      </c>
      <c r="F76" s="23">
        <v>0.537554</v>
      </c>
    </row>
    <row r="77">
      <c r="A77" s="22" t="s">
        <v>33</v>
      </c>
      <c r="B77" s="22" t="s">
        <v>18</v>
      </c>
      <c r="C77" s="22" t="s">
        <v>34</v>
      </c>
      <c r="D77" s="22" t="s">
        <v>19</v>
      </c>
      <c r="E77" s="23">
        <v>1.0</v>
      </c>
      <c r="F77" s="23">
        <v>0.536381</v>
      </c>
    </row>
    <row r="78">
      <c r="A78" s="22" t="s">
        <v>33</v>
      </c>
      <c r="B78" s="22" t="s">
        <v>18</v>
      </c>
      <c r="C78" s="22" t="s">
        <v>34</v>
      </c>
      <c r="D78" s="22" t="s">
        <v>19</v>
      </c>
      <c r="E78" s="23">
        <v>1.0</v>
      </c>
      <c r="F78" s="23">
        <v>0.58672</v>
      </c>
    </row>
    <row r="79">
      <c r="A79" s="22" t="s">
        <v>33</v>
      </c>
      <c r="B79" s="22" t="s">
        <v>18</v>
      </c>
      <c r="C79" s="22" t="s">
        <v>34</v>
      </c>
      <c r="D79" s="22" t="s">
        <v>19</v>
      </c>
      <c r="E79" s="23">
        <v>1.0</v>
      </c>
      <c r="F79" s="23">
        <v>0.499603</v>
      </c>
    </row>
    <row r="80">
      <c r="A80" s="22" t="s">
        <v>33</v>
      </c>
      <c r="B80" s="22" t="s">
        <v>18</v>
      </c>
      <c r="C80" s="22" t="s">
        <v>34</v>
      </c>
      <c r="D80" s="22" t="s">
        <v>19</v>
      </c>
      <c r="E80" s="23">
        <v>1.0</v>
      </c>
      <c r="F80" s="23">
        <v>0.679441</v>
      </c>
    </row>
    <row r="81">
      <c r="A81" s="22" t="s">
        <v>33</v>
      </c>
      <c r="B81" s="22" t="s">
        <v>18</v>
      </c>
      <c r="C81" s="22" t="s">
        <v>34</v>
      </c>
      <c r="D81" s="22" t="s">
        <v>19</v>
      </c>
      <c r="E81" s="23">
        <v>1.0</v>
      </c>
      <c r="F81" s="23">
        <v>0.849368</v>
      </c>
    </row>
    <row r="82">
      <c r="A82" s="22" t="s">
        <v>33</v>
      </c>
      <c r="B82" s="22" t="s">
        <v>18</v>
      </c>
      <c r="C82" s="22" t="s">
        <v>34</v>
      </c>
      <c r="D82" s="22" t="s">
        <v>19</v>
      </c>
      <c r="E82" s="23">
        <v>1.0</v>
      </c>
      <c r="F82" s="23">
        <v>0.500466</v>
      </c>
    </row>
    <row r="83">
      <c r="A83" s="22" t="s">
        <v>33</v>
      </c>
      <c r="B83" s="22" t="s">
        <v>18</v>
      </c>
      <c r="C83" s="22" t="s">
        <v>34</v>
      </c>
      <c r="D83" s="22" t="s">
        <v>19</v>
      </c>
      <c r="E83" s="23">
        <v>1.0</v>
      </c>
      <c r="F83" s="23">
        <v>0.562765</v>
      </c>
    </row>
    <row r="84">
      <c r="A84" s="22" t="s">
        <v>33</v>
      </c>
      <c r="B84" s="22" t="s">
        <v>18</v>
      </c>
      <c r="C84" s="22" t="s">
        <v>34</v>
      </c>
      <c r="D84" s="22" t="s">
        <v>19</v>
      </c>
      <c r="E84" s="23">
        <v>1.0</v>
      </c>
      <c r="F84" s="23">
        <v>0.583922</v>
      </c>
    </row>
    <row r="85">
      <c r="A85" s="22" t="s">
        <v>33</v>
      </c>
      <c r="B85" s="22" t="s">
        <v>18</v>
      </c>
      <c r="C85" s="22" t="s">
        <v>34</v>
      </c>
      <c r="D85" s="22" t="s">
        <v>19</v>
      </c>
      <c r="E85" s="23">
        <v>1.0</v>
      </c>
      <c r="F85" s="23">
        <v>0.483275</v>
      </c>
    </row>
    <row r="86">
      <c r="A86" s="22" t="s">
        <v>33</v>
      </c>
      <c r="B86" s="22" t="s">
        <v>33</v>
      </c>
      <c r="C86" s="22" t="s">
        <v>19</v>
      </c>
      <c r="D86" s="22" t="s">
        <v>19</v>
      </c>
      <c r="E86" s="23">
        <v>1.0</v>
      </c>
      <c r="F86" s="23">
        <v>0.369978</v>
      </c>
    </row>
    <row r="87">
      <c r="A87" s="22" t="s">
        <v>33</v>
      </c>
      <c r="B87" s="22" t="s">
        <v>33</v>
      </c>
      <c r="C87" s="22" t="s">
        <v>19</v>
      </c>
      <c r="D87" s="22" t="s">
        <v>19</v>
      </c>
      <c r="E87" s="23">
        <v>1.0</v>
      </c>
      <c r="F87" s="23">
        <v>0.339645</v>
      </c>
    </row>
    <row r="88">
      <c r="A88" s="22" t="s">
        <v>33</v>
      </c>
      <c r="B88" s="22" t="s">
        <v>33</v>
      </c>
      <c r="C88" s="22" t="s">
        <v>19</v>
      </c>
      <c r="D88" s="22" t="s">
        <v>19</v>
      </c>
      <c r="E88" s="23">
        <v>1.0</v>
      </c>
      <c r="F88" s="23">
        <v>0.439228</v>
      </c>
    </row>
    <row r="89">
      <c r="A89" s="22" t="s">
        <v>33</v>
      </c>
      <c r="B89" s="22" t="s">
        <v>33</v>
      </c>
      <c r="C89" s="22" t="s">
        <v>19</v>
      </c>
      <c r="D89" s="22" t="s">
        <v>19</v>
      </c>
      <c r="E89" s="23">
        <v>1.0</v>
      </c>
      <c r="F89" s="23">
        <v>0.447539</v>
      </c>
    </row>
    <row r="90">
      <c r="A90" s="22" t="s">
        <v>33</v>
      </c>
      <c r="B90" s="22" t="s">
        <v>33</v>
      </c>
      <c r="C90" s="22" t="s">
        <v>19</v>
      </c>
      <c r="D90" s="22" t="s">
        <v>19</v>
      </c>
      <c r="E90" s="23">
        <v>1.0</v>
      </c>
      <c r="F90" s="23">
        <v>0.467635</v>
      </c>
    </row>
    <row r="91">
      <c r="A91" s="22" t="s">
        <v>33</v>
      </c>
      <c r="B91" s="22" t="s">
        <v>33</v>
      </c>
      <c r="C91" s="22" t="s">
        <v>19</v>
      </c>
      <c r="D91" s="22" t="s">
        <v>19</v>
      </c>
      <c r="E91" s="23">
        <v>1.0</v>
      </c>
      <c r="F91" s="23">
        <v>0.472257</v>
      </c>
    </row>
    <row r="92">
      <c r="A92" s="22" t="s">
        <v>33</v>
      </c>
      <c r="B92" s="22" t="s">
        <v>33</v>
      </c>
      <c r="C92" s="22" t="s">
        <v>19</v>
      </c>
      <c r="D92" s="22" t="s">
        <v>19</v>
      </c>
      <c r="E92" s="23">
        <v>1.0</v>
      </c>
      <c r="F92" s="23">
        <v>0.371746</v>
      </c>
    </row>
    <row r="93">
      <c r="A93" s="22" t="s">
        <v>33</v>
      </c>
      <c r="B93" s="22" t="s">
        <v>33</v>
      </c>
      <c r="C93" s="22" t="s">
        <v>19</v>
      </c>
      <c r="D93" s="22" t="s">
        <v>19</v>
      </c>
      <c r="E93" s="23">
        <v>1.0</v>
      </c>
      <c r="F93" s="23">
        <v>0.446679</v>
      </c>
    </row>
    <row r="94">
      <c r="A94" s="22" t="s">
        <v>33</v>
      </c>
      <c r="B94" s="22" t="s">
        <v>33</v>
      </c>
      <c r="C94" s="22" t="s">
        <v>19</v>
      </c>
      <c r="D94" s="22" t="s">
        <v>19</v>
      </c>
      <c r="E94" s="23">
        <v>1.0</v>
      </c>
      <c r="F94" s="23">
        <v>0.408244</v>
      </c>
    </row>
    <row r="95">
      <c r="A95" s="22" t="s">
        <v>33</v>
      </c>
      <c r="B95" s="22" t="s">
        <v>33</v>
      </c>
      <c r="C95" s="22" t="s">
        <v>19</v>
      </c>
      <c r="D95" s="22" t="s">
        <v>19</v>
      </c>
      <c r="E95" s="23">
        <v>1.0</v>
      </c>
      <c r="F95" s="23">
        <v>0.558179</v>
      </c>
    </row>
    <row r="96">
      <c r="A96" s="22" t="s">
        <v>33</v>
      </c>
      <c r="B96" s="22" t="s">
        <v>33</v>
      </c>
      <c r="C96" s="22" t="s">
        <v>19</v>
      </c>
      <c r="D96" s="22" t="s">
        <v>19</v>
      </c>
      <c r="E96" s="23">
        <v>1.0</v>
      </c>
      <c r="F96" s="23">
        <v>0.691293</v>
      </c>
    </row>
    <row r="97">
      <c r="A97" s="22" t="s">
        <v>33</v>
      </c>
      <c r="B97" s="22" t="s">
        <v>33</v>
      </c>
      <c r="C97" s="22" t="s">
        <v>19</v>
      </c>
      <c r="D97" s="22" t="s">
        <v>19</v>
      </c>
      <c r="E97" s="23">
        <v>1.0</v>
      </c>
      <c r="F97" s="23">
        <v>0.5298</v>
      </c>
    </row>
    <row r="98">
      <c r="A98" s="22" t="s">
        <v>33</v>
      </c>
      <c r="B98" s="22" t="s">
        <v>33</v>
      </c>
      <c r="C98" s="22" t="s">
        <v>19</v>
      </c>
      <c r="D98" s="22" t="s">
        <v>19</v>
      </c>
      <c r="E98" s="23">
        <v>1.0</v>
      </c>
      <c r="F98" s="23">
        <v>0.409582</v>
      </c>
    </row>
    <row r="99">
      <c r="A99" s="22" t="s">
        <v>33</v>
      </c>
      <c r="B99" s="22" t="s">
        <v>33</v>
      </c>
      <c r="C99" s="22" t="s">
        <v>19</v>
      </c>
      <c r="D99" s="22" t="s">
        <v>19</v>
      </c>
      <c r="E99" s="23">
        <v>1.0</v>
      </c>
      <c r="F99" s="23">
        <v>0.388021</v>
      </c>
    </row>
    <row r="100">
      <c r="A100" s="22" t="s">
        <v>33</v>
      </c>
      <c r="B100" s="22" t="s">
        <v>33</v>
      </c>
      <c r="C100" s="22" t="s">
        <v>19</v>
      </c>
      <c r="D100" s="22" t="s">
        <v>19</v>
      </c>
      <c r="E100" s="23">
        <v>1.0</v>
      </c>
      <c r="F100" s="23">
        <v>0.335913</v>
      </c>
    </row>
    <row r="101">
      <c r="A101" s="22" t="s">
        <v>33</v>
      </c>
      <c r="B101" s="22" t="s">
        <v>33</v>
      </c>
      <c r="C101" s="22" t="s">
        <v>19</v>
      </c>
      <c r="D101" s="22" t="s">
        <v>19</v>
      </c>
      <c r="E101" s="23">
        <v>1.0</v>
      </c>
      <c r="F101" s="23">
        <v>0.441299</v>
      </c>
    </row>
    <row r="102">
      <c r="A102" s="22" t="s">
        <v>33</v>
      </c>
      <c r="B102" s="22" t="s">
        <v>33</v>
      </c>
      <c r="C102" s="22" t="s">
        <v>19</v>
      </c>
      <c r="D102" s="22" t="s">
        <v>19</v>
      </c>
      <c r="E102" s="23">
        <v>1.0</v>
      </c>
      <c r="F102" s="23">
        <v>0.462972</v>
      </c>
    </row>
    <row r="103">
      <c r="A103" s="22" t="s">
        <v>33</v>
      </c>
      <c r="B103" s="22" t="s">
        <v>33</v>
      </c>
      <c r="C103" s="22" t="s">
        <v>19</v>
      </c>
      <c r="D103" s="22" t="s">
        <v>19</v>
      </c>
      <c r="E103" s="23">
        <v>1.0</v>
      </c>
      <c r="F103" s="23">
        <v>1.056223</v>
      </c>
    </row>
    <row r="104">
      <c r="A104" s="22" t="s">
        <v>33</v>
      </c>
      <c r="B104" s="22" t="s">
        <v>33</v>
      </c>
      <c r="C104" s="22" t="s">
        <v>19</v>
      </c>
      <c r="D104" s="22" t="s">
        <v>19</v>
      </c>
      <c r="E104" s="23">
        <v>1.0</v>
      </c>
      <c r="F104" s="23">
        <v>1.710777</v>
      </c>
    </row>
    <row r="105">
      <c r="A105" s="22" t="s">
        <v>33</v>
      </c>
      <c r="B105" s="22" t="s">
        <v>33</v>
      </c>
      <c r="C105" s="22" t="s">
        <v>19</v>
      </c>
      <c r="D105" s="22" t="s">
        <v>19</v>
      </c>
      <c r="E105" s="23">
        <v>1.0</v>
      </c>
      <c r="F105" s="23">
        <v>0.492851</v>
      </c>
    </row>
    <row r="106">
      <c r="A106" s="22" t="s">
        <v>33</v>
      </c>
      <c r="B106" s="22" t="s">
        <v>33</v>
      </c>
      <c r="C106" s="22" t="s">
        <v>19</v>
      </c>
      <c r="D106" s="22" t="s">
        <v>19</v>
      </c>
      <c r="E106" s="23">
        <v>1.0</v>
      </c>
      <c r="F106" s="23">
        <v>0.472061</v>
      </c>
    </row>
    <row r="107">
      <c r="A107" s="22" t="s">
        <v>33</v>
      </c>
      <c r="B107" s="22" t="s">
        <v>33</v>
      </c>
      <c r="C107" s="22" t="s">
        <v>19</v>
      </c>
      <c r="D107" s="22" t="s">
        <v>19</v>
      </c>
      <c r="E107" s="23">
        <v>1.0</v>
      </c>
      <c r="F107" s="23">
        <v>0.536263</v>
      </c>
    </row>
    <row r="108">
      <c r="A108" s="22" t="s">
        <v>33</v>
      </c>
      <c r="B108" s="22" t="s">
        <v>33</v>
      </c>
      <c r="C108" s="22" t="s">
        <v>19</v>
      </c>
      <c r="D108" s="22" t="s">
        <v>19</v>
      </c>
      <c r="E108" s="23">
        <v>1.0</v>
      </c>
      <c r="F108" s="23">
        <v>0.519228</v>
      </c>
    </row>
    <row r="109">
      <c r="A109" s="22" t="s">
        <v>33</v>
      </c>
      <c r="B109" s="22" t="s">
        <v>33</v>
      </c>
      <c r="C109" s="22" t="s">
        <v>19</v>
      </c>
      <c r="D109" s="22" t="s">
        <v>19</v>
      </c>
      <c r="E109" s="23">
        <v>1.0</v>
      </c>
      <c r="F109" s="23">
        <v>0.382717</v>
      </c>
    </row>
    <row r="110">
      <c r="A110" s="22" t="s">
        <v>33</v>
      </c>
      <c r="B110" s="22" t="s">
        <v>33</v>
      </c>
      <c r="C110" s="22" t="s">
        <v>19</v>
      </c>
      <c r="D110" s="22" t="s">
        <v>19</v>
      </c>
      <c r="E110" s="23">
        <v>1.0</v>
      </c>
      <c r="F110" s="23">
        <v>0.445854</v>
      </c>
    </row>
    <row r="111">
      <c r="A111" s="22" t="s">
        <v>33</v>
      </c>
      <c r="B111" s="22" t="s">
        <v>33</v>
      </c>
      <c r="C111" s="22" t="s">
        <v>19</v>
      </c>
      <c r="D111" s="22" t="s">
        <v>19</v>
      </c>
      <c r="E111" s="23">
        <v>1.0</v>
      </c>
      <c r="F111" s="23">
        <v>0.513463</v>
      </c>
    </row>
    <row r="112">
      <c r="A112" s="22" t="s">
        <v>33</v>
      </c>
      <c r="B112" s="22" t="s">
        <v>33</v>
      </c>
      <c r="C112" s="22" t="s">
        <v>19</v>
      </c>
      <c r="D112" s="22" t="s">
        <v>19</v>
      </c>
      <c r="E112" s="23">
        <v>1.0</v>
      </c>
      <c r="F112" s="23">
        <v>0.468015</v>
      </c>
    </row>
    <row r="113">
      <c r="A113" s="22" t="s">
        <v>33</v>
      </c>
      <c r="B113" s="22" t="s">
        <v>33</v>
      </c>
      <c r="C113" s="22" t="s">
        <v>19</v>
      </c>
      <c r="D113" s="22" t="s">
        <v>19</v>
      </c>
      <c r="E113" s="23">
        <v>1.0</v>
      </c>
      <c r="F113" s="23">
        <v>0.567988</v>
      </c>
    </row>
    <row r="114">
      <c r="A114" s="22" t="s">
        <v>33</v>
      </c>
      <c r="B114" s="22" t="s">
        <v>33</v>
      </c>
      <c r="C114" s="22" t="s">
        <v>19</v>
      </c>
      <c r="D114" s="22" t="s">
        <v>19</v>
      </c>
      <c r="E114" s="23">
        <v>1.0</v>
      </c>
      <c r="F114" s="23">
        <v>0.582341</v>
      </c>
    </row>
    <row r="115">
      <c r="A115" s="26"/>
      <c r="B115" s="26"/>
      <c r="C115" s="26"/>
      <c r="D115" s="26"/>
      <c r="E115" s="26"/>
      <c r="F115" s="26"/>
    </row>
  </sheetData>
  <autoFilter ref="$A$1:$F$114">
    <sortState ref="A1:F114">
      <sortCondition ref="A1:A114"/>
      <sortCondition ref="B1:B114"/>
      <sortCondition ref="C1:C114"/>
    </sortState>
  </autoFilter>
  <mergeCells count="12">
    <mergeCell ref="H3:I3"/>
    <mergeCell ref="H4:I4"/>
    <mergeCell ref="H7:I7"/>
    <mergeCell ref="H8:I8"/>
    <mergeCell ref="H19:I19"/>
    <mergeCell ref="H20:I20"/>
    <mergeCell ref="H6:I6"/>
    <mergeCell ref="H17:I17"/>
    <mergeCell ref="H16:I16"/>
    <mergeCell ref="H18:I18"/>
    <mergeCell ref="H5:I5"/>
    <mergeCell ref="H15:I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34</v>
      </c>
      <c r="D2" s="22" t="s">
        <v>34</v>
      </c>
      <c r="E2" s="23">
        <v>1.0</v>
      </c>
      <c r="F2" s="23">
        <v>0.654597</v>
      </c>
      <c r="J2" s="24" t="s">
        <v>35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34</v>
      </c>
      <c r="D3" s="22" t="s">
        <v>34</v>
      </c>
      <c r="E3" s="23">
        <v>1.0</v>
      </c>
      <c r="F3" s="23">
        <v>0.602967</v>
      </c>
      <c r="H3" s="22" t="s">
        <v>22</v>
      </c>
      <c r="J3" s="25">
        <f>average(J4:J5)</f>
        <v>0.7973929576</v>
      </c>
      <c r="K3" s="24">
        <v>5.0</v>
      </c>
      <c r="L3" s="25">
        <f>60-K3</f>
        <v>55</v>
      </c>
    </row>
    <row r="4">
      <c r="A4" s="22" t="s">
        <v>18</v>
      </c>
      <c r="B4" s="22" t="s">
        <v>18</v>
      </c>
      <c r="C4" s="22" t="s">
        <v>34</v>
      </c>
      <c r="D4" s="22" t="s">
        <v>34</v>
      </c>
      <c r="E4" s="23">
        <v>1.0</v>
      </c>
      <c r="F4" s="23">
        <v>0.494823</v>
      </c>
      <c r="H4" s="22" t="s">
        <v>23</v>
      </c>
      <c r="J4" s="25">
        <f>average(F55:F80)</f>
        <v>0.7271148462</v>
      </c>
      <c r="K4" s="24">
        <v>4.0</v>
      </c>
      <c r="L4" s="25">
        <f t="shared" ref="L4:L5" si="1">30-K4</f>
        <v>26</v>
      </c>
    </row>
    <row r="5">
      <c r="A5" s="22" t="s">
        <v>18</v>
      </c>
      <c r="B5" s="22" t="s">
        <v>18</v>
      </c>
      <c r="C5" s="22" t="s">
        <v>34</v>
      </c>
      <c r="D5" s="22" t="s">
        <v>34</v>
      </c>
      <c r="E5" s="23">
        <v>1.0</v>
      </c>
      <c r="F5" s="23">
        <v>1.099368</v>
      </c>
      <c r="H5" s="22" t="s">
        <v>24</v>
      </c>
      <c r="J5" s="25">
        <f>average(F26:F54)</f>
        <v>0.867671069</v>
      </c>
      <c r="K5" s="24">
        <v>1.0</v>
      </c>
      <c r="L5" s="25">
        <f t="shared" si="1"/>
        <v>29</v>
      </c>
    </row>
    <row r="6">
      <c r="A6" s="22" t="s">
        <v>18</v>
      </c>
      <c r="B6" s="22" t="s">
        <v>18</v>
      </c>
      <c r="C6" s="22" t="s">
        <v>34</v>
      </c>
      <c r="D6" s="22" t="s">
        <v>34</v>
      </c>
      <c r="E6" s="23">
        <v>1.0</v>
      </c>
      <c r="F6" s="23">
        <v>0.665264</v>
      </c>
      <c r="H6" s="22" t="s">
        <v>25</v>
      </c>
      <c r="J6" s="25">
        <f>average(J7:J8)</f>
        <v>1.616974231</v>
      </c>
      <c r="K6" s="24">
        <v>9.0</v>
      </c>
      <c r="L6" s="25">
        <f>60-K6</f>
        <v>51</v>
      </c>
    </row>
    <row r="7">
      <c r="A7" s="22" t="s">
        <v>18</v>
      </c>
      <c r="B7" s="22" t="s">
        <v>18</v>
      </c>
      <c r="C7" s="22" t="s">
        <v>34</v>
      </c>
      <c r="D7" s="22" t="s">
        <v>34</v>
      </c>
      <c r="E7" s="23">
        <v>1.0</v>
      </c>
      <c r="F7" s="23">
        <v>0.473568</v>
      </c>
      <c r="H7" s="22" t="s">
        <v>26</v>
      </c>
      <c r="J7" s="25">
        <f>average(F81:F107)</f>
        <v>1.02701463</v>
      </c>
      <c r="K7" s="24">
        <v>3.0</v>
      </c>
      <c r="L7" s="25">
        <f t="shared" ref="L7:L8" si="2">30-K7</f>
        <v>27</v>
      </c>
    </row>
    <row r="8">
      <c r="A8" s="22" t="s">
        <v>18</v>
      </c>
      <c r="B8" s="22" t="s">
        <v>18</v>
      </c>
      <c r="C8" s="22" t="s">
        <v>34</v>
      </c>
      <c r="D8" s="22" t="s">
        <v>34</v>
      </c>
      <c r="E8" s="23">
        <v>1.0</v>
      </c>
      <c r="F8" s="23">
        <v>0.665089</v>
      </c>
      <c r="H8" s="22" t="s">
        <v>27</v>
      </c>
      <c r="J8" s="25">
        <f>average(F2:F25)</f>
        <v>2.206933833</v>
      </c>
      <c r="K8" s="24">
        <v>6.0</v>
      </c>
      <c r="L8" s="25">
        <f t="shared" si="2"/>
        <v>24</v>
      </c>
    </row>
    <row r="9">
      <c r="A9" s="22" t="s">
        <v>18</v>
      </c>
      <c r="B9" s="22" t="s">
        <v>18</v>
      </c>
      <c r="C9" s="22" t="s">
        <v>34</v>
      </c>
      <c r="D9" s="22" t="s">
        <v>34</v>
      </c>
      <c r="E9" s="23">
        <v>1.0</v>
      </c>
      <c r="F9" s="23">
        <v>0.585775</v>
      </c>
    </row>
    <row r="10">
      <c r="A10" s="22" t="s">
        <v>18</v>
      </c>
      <c r="B10" s="22" t="s">
        <v>18</v>
      </c>
      <c r="C10" s="22" t="s">
        <v>34</v>
      </c>
      <c r="D10" s="22" t="s">
        <v>34</v>
      </c>
      <c r="E10" s="23">
        <v>1.0</v>
      </c>
      <c r="F10" s="23">
        <v>1.059755</v>
      </c>
      <c r="H10" s="24" t="s">
        <v>12</v>
      </c>
      <c r="I10" s="24" t="s">
        <v>37</v>
      </c>
      <c r="J10" s="24" t="s">
        <v>38</v>
      </c>
    </row>
    <row r="11">
      <c r="A11" s="22" t="s">
        <v>18</v>
      </c>
      <c r="B11" s="22" t="s">
        <v>18</v>
      </c>
      <c r="C11" s="22" t="s">
        <v>34</v>
      </c>
      <c r="D11" s="22" t="s">
        <v>34</v>
      </c>
      <c r="E11" s="23">
        <v>1.0</v>
      </c>
      <c r="F11" s="23">
        <v>1.168415</v>
      </c>
      <c r="H11" s="24" t="s">
        <v>13</v>
      </c>
      <c r="I11" s="24" t="s">
        <v>39</v>
      </c>
      <c r="J11" s="24" t="s">
        <v>40</v>
      </c>
    </row>
    <row r="12">
      <c r="A12" s="22" t="s">
        <v>18</v>
      </c>
      <c r="B12" s="22" t="s">
        <v>18</v>
      </c>
      <c r="C12" s="22" t="s">
        <v>34</v>
      </c>
      <c r="D12" s="22" t="s">
        <v>34</v>
      </c>
      <c r="E12" s="23">
        <v>1.0</v>
      </c>
      <c r="F12" s="23">
        <v>0.55153</v>
      </c>
    </row>
    <row r="13">
      <c r="A13" s="22" t="s">
        <v>18</v>
      </c>
      <c r="B13" s="22" t="s">
        <v>18</v>
      </c>
      <c r="C13" s="22" t="s">
        <v>34</v>
      </c>
      <c r="D13" s="22" t="s">
        <v>34</v>
      </c>
      <c r="E13" s="23">
        <v>1.0</v>
      </c>
      <c r="F13" s="23">
        <v>0.687443</v>
      </c>
      <c r="I13" s="24" t="s">
        <v>28</v>
      </c>
      <c r="J13" s="24" t="s">
        <v>29</v>
      </c>
    </row>
    <row r="14">
      <c r="A14" s="22" t="s">
        <v>18</v>
      </c>
      <c r="B14" s="22" t="s">
        <v>18</v>
      </c>
      <c r="C14" s="22" t="s">
        <v>34</v>
      </c>
      <c r="D14" s="22" t="s">
        <v>34</v>
      </c>
      <c r="E14" s="23">
        <v>1.0</v>
      </c>
      <c r="F14" s="23">
        <v>0.840028</v>
      </c>
      <c r="H14" s="24" t="s">
        <v>30</v>
      </c>
      <c r="I14" s="25">
        <f>J4</f>
        <v>0.7271148462</v>
      </c>
      <c r="J14" s="25">
        <f>J7</f>
        <v>1.02701463</v>
      </c>
    </row>
    <row r="15">
      <c r="A15" s="22" t="s">
        <v>18</v>
      </c>
      <c r="B15" s="22" t="s">
        <v>18</v>
      </c>
      <c r="C15" s="22" t="s">
        <v>34</v>
      </c>
      <c r="D15" s="22" t="s">
        <v>34</v>
      </c>
      <c r="E15" s="23">
        <v>1.0</v>
      </c>
      <c r="F15" s="23">
        <v>0.444149</v>
      </c>
      <c r="H15" s="24" t="s">
        <v>31</v>
      </c>
      <c r="I15" s="25">
        <f>J8</f>
        <v>2.206933833</v>
      </c>
      <c r="J15" s="25">
        <f>J5</f>
        <v>0.867671069</v>
      </c>
    </row>
    <row r="16">
      <c r="A16" s="22" t="s">
        <v>18</v>
      </c>
      <c r="B16" s="22" t="s">
        <v>18</v>
      </c>
      <c r="C16" s="22" t="s">
        <v>34</v>
      </c>
      <c r="D16" s="22" t="s">
        <v>34</v>
      </c>
      <c r="E16" s="23">
        <v>1.0</v>
      </c>
      <c r="F16" s="23">
        <v>13.47398</v>
      </c>
      <c r="H16" s="24" t="s">
        <v>32</v>
      </c>
    </row>
    <row r="17">
      <c r="A17" s="22" t="s">
        <v>18</v>
      </c>
      <c r="B17" s="22" t="s">
        <v>18</v>
      </c>
      <c r="C17" s="22" t="s">
        <v>34</v>
      </c>
      <c r="D17" s="22" t="s">
        <v>34</v>
      </c>
      <c r="E17" s="23">
        <v>1.0</v>
      </c>
      <c r="F17" s="23">
        <v>0.835802</v>
      </c>
      <c r="H17" s="22" t="s">
        <v>22</v>
      </c>
      <c r="J17" s="25">
        <f>L3/60*100</f>
        <v>91.66666667</v>
      </c>
    </row>
    <row r="18">
      <c r="A18" s="22" t="s">
        <v>18</v>
      </c>
      <c r="B18" s="22" t="s">
        <v>18</v>
      </c>
      <c r="C18" s="22" t="s">
        <v>34</v>
      </c>
      <c r="D18" s="22" t="s">
        <v>34</v>
      </c>
      <c r="E18" s="23">
        <v>1.0</v>
      </c>
      <c r="F18" s="23">
        <v>0.514886</v>
      </c>
      <c r="H18" s="22" t="s">
        <v>23</v>
      </c>
      <c r="J18" s="25">
        <f t="shared" ref="J18:J19" si="3">L4/30*100</f>
        <v>86.66666667</v>
      </c>
    </row>
    <row r="19">
      <c r="A19" s="22" t="s">
        <v>18</v>
      </c>
      <c r="B19" s="22" t="s">
        <v>18</v>
      </c>
      <c r="C19" s="22" t="s">
        <v>34</v>
      </c>
      <c r="D19" s="22" t="s">
        <v>34</v>
      </c>
      <c r="E19" s="23">
        <v>1.0</v>
      </c>
      <c r="F19" s="23">
        <v>0.562794</v>
      </c>
      <c r="H19" s="22" t="s">
        <v>24</v>
      </c>
      <c r="J19" s="25">
        <f t="shared" si="3"/>
        <v>96.66666667</v>
      </c>
    </row>
    <row r="20">
      <c r="A20" s="22" t="s">
        <v>18</v>
      </c>
      <c r="B20" s="22" t="s">
        <v>18</v>
      </c>
      <c r="C20" s="22" t="s">
        <v>34</v>
      </c>
      <c r="D20" s="22" t="s">
        <v>34</v>
      </c>
      <c r="E20" s="23">
        <v>1.0</v>
      </c>
      <c r="F20" s="23">
        <v>0.582693</v>
      </c>
      <c r="H20" s="22" t="s">
        <v>25</v>
      </c>
      <c r="J20" s="25">
        <f>L6/60*100</f>
        <v>85</v>
      </c>
    </row>
    <row r="21">
      <c r="A21" s="22" t="s">
        <v>18</v>
      </c>
      <c r="B21" s="22" t="s">
        <v>18</v>
      </c>
      <c r="C21" s="22" t="s">
        <v>34</v>
      </c>
      <c r="D21" s="22" t="s">
        <v>34</v>
      </c>
      <c r="E21" s="23">
        <v>1.0</v>
      </c>
      <c r="F21" s="23">
        <v>0.982279</v>
      </c>
      <c r="H21" s="22" t="s">
        <v>26</v>
      </c>
      <c r="J21" s="25">
        <f t="shared" ref="J21:J22" si="4">L7/30*100</f>
        <v>90</v>
      </c>
    </row>
    <row r="22">
      <c r="A22" s="22" t="s">
        <v>18</v>
      </c>
      <c r="B22" s="22" t="s">
        <v>18</v>
      </c>
      <c r="C22" s="22" t="s">
        <v>34</v>
      </c>
      <c r="D22" s="22" t="s">
        <v>34</v>
      </c>
      <c r="E22" s="23">
        <v>1.0</v>
      </c>
      <c r="F22" s="23">
        <v>10.0884</v>
      </c>
      <c r="H22" s="22" t="s">
        <v>27</v>
      </c>
      <c r="J22" s="25">
        <f t="shared" si="4"/>
        <v>80</v>
      </c>
    </row>
    <row r="23">
      <c r="A23" s="22" t="s">
        <v>18</v>
      </c>
      <c r="B23" s="22" t="s">
        <v>18</v>
      </c>
      <c r="C23" s="22" t="s">
        <v>34</v>
      </c>
      <c r="D23" s="22" t="s">
        <v>34</v>
      </c>
      <c r="E23" s="23">
        <v>1.0</v>
      </c>
      <c r="F23" s="23">
        <v>2.364355</v>
      </c>
    </row>
    <row r="24">
      <c r="A24" s="22" t="s">
        <v>18</v>
      </c>
      <c r="B24" s="22" t="s">
        <v>18</v>
      </c>
      <c r="C24" s="22" t="s">
        <v>34</v>
      </c>
      <c r="D24" s="22" t="s">
        <v>34</v>
      </c>
      <c r="E24" s="23">
        <v>1.0</v>
      </c>
      <c r="F24" s="23">
        <v>3.407032</v>
      </c>
    </row>
    <row r="25">
      <c r="A25" s="22" t="s">
        <v>18</v>
      </c>
      <c r="B25" s="22" t="s">
        <v>18</v>
      </c>
      <c r="C25" s="22" t="s">
        <v>34</v>
      </c>
      <c r="D25" s="22" t="s">
        <v>34</v>
      </c>
      <c r="E25" s="23">
        <v>1.0</v>
      </c>
      <c r="F25" s="23">
        <v>10.16142</v>
      </c>
    </row>
    <row r="26">
      <c r="A26" s="22" t="s">
        <v>18</v>
      </c>
      <c r="B26" s="22" t="s">
        <v>33</v>
      </c>
      <c r="C26" s="22" t="s">
        <v>19</v>
      </c>
      <c r="D26" s="22" t="s">
        <v>34</v>
      </c>
      <c r="E26" s="23">
        <v>1.0</v>
      </c>
      <c r="F26" s="23">
        <v>0.645651</v>
      </c>
    </row>
    <row r="27">
      <c r="A27" s="22" t="s">
        <v>18</v>
      </c>
      <c r="B27" s="22" t="s">
        <v>33</v>
      </c>
      <c r="C27" s="22" t="s">
        <v>19</v>
      </c>
      <c r="D27" s="22" t="s">
        <v>34</v>
      </c>
      <c r="E27" s="23">
        <v>1.0</v>
      </c>
      <c r="F27" s="23">
        <v>0.576343</v>
      </c>
    </row>
    <row r="28">
      <c r="A28" s="22" t="s">
        <v>18</v>
      </c>
      <c r="B28" s="22" t="s">
        <v>33</v>
      </c>
      <c r="C28" s="22" t="s">
        <v>19</v>
      </c>
      <c r="D28" s="22" t="s">
        <v>34</v>
      </c>
      <c r="E28" s="23">
        <v>1.0</v>
      </c>
      <c r="F28" s="23">
        <v>0.510235</v>
      </c>
    </row>
    <row r="29">
      <c r="A29" s="22" t="s">
        <v>18</v>
      </c>
      <c r="B29" s="22" t="s">
        <v>33</v>
      </c>
      <c r="C29" s="22" t="s">
        <v>19</v>
      </c>
      <c r="D29" s="22" t="s">
        <v>34</v>
      </c>
      <c r="E29" s="23">
        <v>1.0</v>
      </c>
      <c r="F29" s="23">
        <v>0.469118</v>
      </c>
    </row>
    <row r="30">
      <c r="A30" s="22" t="s">
        <v>18</v>
      </c>
      <c r="B30" s="22" t="s">
        <v>33</v>
      </c>
      <c r="C30" s="22" t="s">
        <v>19</v>
      </c>
      <c r="D30" s="22" t="s">
        <v>34</v>
      </c>
      <c r="E30" s="23">
        <v>1.0</v>
      </c>
      <c r="F30" s="23">
        <v>0.509757</v>
      </c>
    </row>
    <row r="31">
      <c r="A31" s="22" t="s">
        <v>18</v>
      </c>
      <c r="B31" s="22" t="s">
        <v>33</v>
      </c>
      <c r="C31" s="22" t="s">
        <v>19</v>
      </c>
      <c r="D31" s="22" t="s">
        <v>34</v>
      </c>
      <c r="E31" s="23">
        <v>1.0</v>
      </c>
      <c r="F31" s="23">
        <v>0.818547</v>
      </c>
    </row>
    <row r="32">
      <c r="A32" s="22" t="s">
        <v>18</v>
      </c>
      <c r="B32" s="22" t="s">
        <v>33</v>
      </c>
      <c r="C32" s="22" t="s">
        <v>19</v>
      </c>
      <c r="D32" s="22" t="s">
        <v>34</v>
      </c>
      <c r="E32" s="23">
        <v>1.0</v>
      </c>
      <c r="F32" s="23">
        <v>0.620135</v>
      </c>
    </row>
    <row r="33">
      <c r="A33" s="22" t="s">
        <v>18</v>
      </c>
      <c r="B33" s="22" t="s">
        <v>33</v>
      </c>
      <c r="C33" s="22" t="s">
        <v>19</v>
      </c>
      <c r="D33" s="22" t="s">
        <v>34</v>
      </c>
      <c r="E33" s="23">
        <v>1.0</v>
      </c>
      <c r="F33" s="23">
        <v>0.506914</v>
      </c>
    </row>
    <row r="34">
      <c r="A34" s="22" t="s">
        <v>18</v>
      </c>
      <c r="B34" s="22" t="s">
        <v>33</v>
      </c>
      <c r="C34" s="22" t="s">
        <v>19</v>
      </c>
      <c r="D34" s="22" t="s">
        <v>34</v>
      </c>
      <c r="E34" s="23">
        <v>1.0</v>
      </c>
      <c r="F34" s="23">
        <v>0.464102</v>
      </c>
    </row>
    <row r="35">
      <c r="A35" s="22" t="s">
        <v>18</v>
      </c>
      <c r="B35" s="22" t="s">
        <v>33</v>
      </c>
      <c r="C35" s="22" t="s">
        <v>19</v>
      </c>
      <c r="D35" s="22" t="s">
        <v>34</v>
      </c>
      <c r="E35" s="23">
        <v>1.0</v>
      </c>
      <c r="F35" s="23">
        <v>0.54314</v>
      </c>
    </row>
    <row r="36">
      <c r="A36" s="22" t="s">
        <v>18</v>
      </c>
      <c r="B36" s="22" t="s">
        <v>33</v>
      </c>
      <c r="C36" s="22" t="s">
        <v>19</v>
      </c>
      <c r="D36" s="22" t="s">
        <v>34</v>
      </c>
      <c r="E36" s="23">
        <v>1.0</v>
      </c>
      <c r="F36" s="23">
        <v>0.59743</v>
      </c>
    </row>
    <row r="37">
      <c r="A37" s="22" t="s">
        <v>18</v>
      </c>
      <c r="B37" s="22" t="s">
        <v>33</v>
      </c>
      <c r="C37" s="22" t="s">
        <v>19</v>
      </c>
      <c r="D37" s="22" t="s">
        <v>34</v>
      </c>
      <c r="E37" s="23">
        <v>1.0</v>
      </c>
      <c r="F37" s="23">
        <v>0.523392</v>
      </c>
    </row>
    <row r="38">
      <c r="A38" s="22" t="s">
        <v>18</v>
      </c>
      <c r="B38" s="22" t="s">
        <v>33</v>
      </c>
      <c r="C38" s="22" t="s">
        <v>19</v>
      </c>
      <c r="D38" s="22" t="s">
        <v>34</v>
      </c>
      <c r="E38" s="23">
        <v>1.0</v>
      </c>
      <c r="F38" s="23">
        <v>0.433274</v>
      </c>
    </row>
    <row r="39">
      <c r="A39" s="22" t="s">
        <v>18</v>
      </c>
      <c r="B39" s="22" t="s">
        <v>33</v>
      </c>
      <c r="C39" s="22" t="s">
        <v>19</v>
      </c>
      <c r="D39" s="22" t="s">
        <v>34</v>
      </c>
      <c r="E39" s="23">
        <v>1.0</v>
      </c>
      <c r="F39" s="23">
        <v>0.687387</v>
      </c>
    </row>
    <row r="40">
      <c r="A40" s="22" t="s">
        <v>18</v>
      </c>
      <c r="B40" s="22" t="s">
        <v>33</v>
      </c>
      <c r="C40" s="22" t="s">
        <v>19</v>
      </c>
      <c r="D40" s="22" t="s">
        <v>34</v>
      </c>
      <c r="E40" s="23">
        <v>1.0</v>
      </c>
      <c r="F40" s="23">
        <v>0.575508</v>
      </c>
    </row>
    <row r="41">
      <c r="A41" s="22" t="s">
        <v>18</v>
      </c>
      <c r="B41" s="22" t="s">
        <v>33</v>
      </c>
      <c r="C41" s="22" t="s">
        <v>19</v>
      </c>
      <c r="D41" s="22" t="s">
        <v>34</v>
      </c>
      <c r="E41" s="23">
        <v>1.0</v>
      </c>
      <c r="F41" s="23">
        <v>2.549205</v>
      </c>
    </row>
    <row r="42">
      <c r="A42" s="22" t="s">
        <v>18</v>
      </c>
      <c r="B42" s="22" t="s">
        <v>33</v>
      </c>
      <c r="C42" s="22" t="s">
        <v>19</v>
      </c>
      <c r="D42" s="22" t="s">
        <v>34</v>
      </c>
      <c r="E42" s="23">
        <v>1.0</v>
      </c>
      <c r="F42" s="23">
        <v>0.617158</v>
      </c>
    </row>
    <row r="43">
      <c r="A43" s="22" t="s">
        <v>18</v>
      </c>
      <c r="B43" s="22" t="s">
        <v>33</v>
      </c>
      <c r="C43" s="22" t="s">
        <v>19</v>
      </c>
      <c r="D43" s="22" t="s">
        <v>34</v>
      </c>
      <c r="E43" s="23">
        <v>1.0</v>
      </c>
      <c r="F43" s="23">
        <v>0.87519</v>
      </c>
    </row>
    <row r="44">
      <c r="A44" s="22" t="s">
        <v>18</v>
      </c>
      <c r="B44" s="22" t="s">
        <v>33</v>
      </c>
      <c r="C44" s="22" t="s">
        <v>19</v>
      </c>
      <c r="D44" s="22" t="s">
        <v>34</v>
      </c>
      <c r="E44" s="23">
        <v>1.0</v>
      </c>
      <c r="F44" s="23">
        <v>0.711916</v>
      </c>
    </row>
    <row r="45">
      <c r="A45" s="22" t="s">
        <v>18</v>
      </c>
      <c r="B45" s="22" t="s">
        <v>33</v>
      </c>
      <c r="C45" s="22" t="s">
        <v>19</v>
      </c>
      <c r="D45" s="22" t="s">
        <v>34</v>
      </c>
      <c r="E45" s="23">
        <v>1.0</v>
      </c>
      <c r="F45" s="23">
        <v>4.8914</v>
      </c>
    </row>
    <row r="46">
      <c r="A46" s="22" t="s">
        <v>18</v>
      </c>
      <c r="B46" s="22" t="s">
        <v>33</v>
      </c>
      <c r="C46" s="22" t="s">
        <v>19</v>
      </c>
      <c r="D46" s="22" t="s">
        <v>34</v>
      </c>
      <c r="E46" s="23">
        <v>1.0</v>
      </c>
      <c r="F46" s="23">
        <v>0.552606</v>
      </c>
    </row>
    <row r="47">
      <c r="A47" s="22" t="s">
        <v>18</v>
      </c>
      <c r="B47" s="22" t="s">
        <v>33</v>
      </c>
      <c r="C47" s="22" t="s">
        <v>19</v>
      </c>
      <c r="D47" s="22" t="s">
        <v>34</v>
      </c>
      <c r="E47" s="23">
        <v>1.0</v>
      </c>
      <c r="F47" s="23">
        <v>0.530466</v>
      </c>
    </row>
    <row r="48">
      <c r="A48" s="22" t="s">
        <v>18</v>
      </c>
      <c r="B48" s="22" t="s">
        <v>33</v>
      </c>
      <c r="C48" s="22" t="s">
        <v>19</v>
      </c>
      <c r="D48" s="22" t="s">
        <v>34</v>
      </c>
      <c r="E48" s="23">
        <v>1.0</v>
      </c>
      <c r="F48" s="23">
        <v>2.540791</v>
      </c>
    </row>
    <row r="49">
      <c r="A49" s="22" t="s">
        <v>18</v>
      </c>
      <c r="B49" s="22" t="s">
        <v>33</v>
      </c>
      <c r="C49" s="22" t="s">
        <v>19</v>
      </c>
      <c r="D49" s="22" t="s">
        <v>34</v>
      </c>
      <c r="E49" s="23">
        <v>1.0</v>
      </c>
      <c r="F49" s="23">
        <v>0.528249</v>
      </c>
    </row>
    <row r="50">
      <c r="A50" s="22" t="s">
        <v>18</v>
      </c>
      <c r="B50" s="22" t="s">
        <v>33</v>
      </c>
      <c r="C50" s="22" t="s">
        <v>19</v>
      </c>
      <c r="D50" s="22" t="s">
        <v>34</v>
      </c>
      <c r="E50" s="23">
        <v>1.0</v>
      </c>
      <c r="F50" s="23">
        <v>0.739108</v>
      </c>
    </row>
    <row r="51">
      <c r="A51" s="22" t="s">
        <v>18</v>
      </c>
      <c r="B51" s="22" t="s">
        <v>33</v>
      </c>
      <c r="C51" s="22" t="s">
        <v>19</v>
      </c>
      <c r="D51" s="22" t="s">
        <v>34</v>
      </c>
      <c r="E51" s="23">
        <v>1.0</v>
      </c>
      <c r="F51" s="23">
        <v>0.607979</v>
      </c>
    </row>
    <row r="52">
      <c r="A52" s="22" t="s">
        <v>18</v>
      </c>
      <c r="B52" s="22" t="s">
        <v>33</v>
      </c>
      <c r="C52" s="22" t="s">
        <v>19</v>
      </c>
      <c r="D52" s="22" t="s">
        <v>34</v>
      </c>
      <c r="E52" s="23">
        <v>1.0</v>
      </c>
      <c r="F52" s="23">
        <v>0.515424</v>
      </c>
    </row>
    <row r="53">
      <c r="A53" s="22" t="s">
        <v>18</v>
      </c>
      <c r="B53" s="22" t="s">
        <v>33</v>
      </c>
      <c r="C53" s="22" t="s">
        <v>19</v>
      </c>
      <c r="D53" s="22" t="s">
        <v>34</v>
      </c>
      <c r="E53" s="23">
        <v>1.0</v>
      </c>
      <c r="F53" s="23">
        <v>0.559502</v>
      </c>
    </row>
    <row r="54">
      <c r="A54" s="22" t="s">
        <v>18</v>
      </c>
      <c r="B54" s="22" t="s">
        <v>33</v>
      </c>
      <c r="C54" s="22" t="s">
        <v>19</v>
      </c>
      <c r="D54" s="22" t="s">
        <v>34</v>
      </c>
      <c r="E54" s="23">
        <v>1.0</v>
      </c>
      <c r="F54" s="23">
        <v>0.462534</v>
      </c>
    </row>
    <row r="55">
      <c r="A55" s="22" t="s">
        <v>33</v>
      </c>
      <c r="B55" s="22" t="s">
        <v>18</v>
      </c>
      <c r="C55" s="22" t="s">
        <v>19</v>
      </c>
      <c r="D55" s="22" t="s">
        <v>34</v>
      </c>
      <c r="E55" s="23">
        <v>1.0</v>
      </c>
      <c r="F55" s="23">
        <v>0.933162</v>
      </c>
    </row>
    <row r="56">
      <c r="A56" s="22" t="s">
        <v>33</v>
      </c>
      <c r="B56" s="22" t="s">
        <v>18</v>
      </c>
      <c r="C56" s="22" t="s">
        <v>19</v>
      </c>
      <c r="D56" s="22" t="s">
        <v>34</v>
      </c>
      <c r="E56" s="23">
        <v>1.0</v>
      </c>
      <c r="F56" s="23">
        <v>0.482231</v>
      </c>
    </row>
    <row r="57">
      <c r="A57" s="22" t="s">
        <v>33</v>
      </c>
      <c r="B57" s="22" t="s">
        <v>18</v>
      </c>
      <c r="C57" s="22" t="s">
        <v>19</v>
      </c>
      <c r="D57" s="22" t="s">
        <v>34</v>
      </c>
      <c r="E57" s="23">
        <v>1.0</v>
      </c>
      <c r="F57" s="23">
        <v>2.609464</v>
      </c>
    </row>
    <row r="58">
      <c r="A58" s="22" t="s">
        <v>33</v>
      </c>
      <c r="B58" s="22" t="s">
        <v>18</v>
      </c>
      <c r="C58" s="22" t="s">
        <v>19</v>
      </c>
      <c r="D58" s="22" t="s">
        <v>34</v>
      </c>
      <c r="E58" s="23">
        <v>1.0</v>
      </c>
      <c r="F58" s="23">
        <v>0.513256</v>
      </c>
    </row>
    <row r="59">
      <c r="A59" s="22" t="s">
        <v>33</v>
      </c>
      <c r="B59" s="22" t="s">
        <v>18</v>
      </c>
      <c r="C59" s="22" t="s">
        <v>19</v>
      </c>
      <c r="D59" s="22" t="s">
        <v>34</v>
      </c>
      <c r="E59" s="23">
        <v>1.0</v>
      </c>
      <c r="F59" s="23">
        <v>0.677895</v>
      </c>
    </row>
    <row r="60">
      <c r="A60" s="22" t="s">
        <v>33</v>
      </c>
      <c r="B60" s="22" t="s">
        <v>18</v>
      </c>
      <c r="C60" s="22" t="s">
        <v>19</v>
      </c>
      <c r="D60" s="22" t="s">
        <v>34</v>
      </c>
      <c r="E60" s="23">
        <v>1.0</v>
      </c>
      <c r="F60" s="23">
        <v>0.607002</v>
      </c>
    </row>
    <row r="61">
      <c r="A61" s="22" t="s">
        <v>33</v>
      </c>
      <c r="B61" s="22" t="s">
        <v>18</v>
      </c>
      <c r="C61" s="22" t="s">
        <v>19</v>
      </c>
      <c r="D61" s="22" t="s">
        <v>34</v>
      </c>
      <c r="E61" s="23">
        <v>1.0</v>
      </c>
      <c r="F61" s="23">
        <v>0.537919</v>
      </c>
    </row>
    <row r="62">
      <c r="A62" s="22" t="s">
        <v>33</v>
      </c>
      <c r="B62" s="22" t="s">
        <v>18</v>
      </c>
      <c r="C62" s="22" t="s">
        <v>19</v>
      </c>
      <c r="D62" s="22" t="s">
        <v>34</v>
      </c>
      <c r="E62" s="23">
        <v>1.0</v>
      </c>
      <c r="F62" s="23">
        <v>0.488277</v>
      </c>
    </row>
    <row r="63">
      <c r="A63" s="22" t="s">
        <v>33</v>
      </c>
      <c r="B63" s="22" t="s">
        <v>18</v>
      </c>
      <c r="C63" s="22" t="s">
        <v>19</v>
      </c>
      <c r="D63" s="22" t="s">
        <v>34</v>
      </c>
      <c r="E63" s="23">
        <v>1.0</v>
      </c>
      <c r="F63" s="23">
        <v>0.63226</v>
      </c>
    </row>
    <row r="64">
      <c r="A64" s="22" t="s">
        <v>33</v>
      </c>
      <c r="B64" s="22" t="s">
        <v>18</v>
      </c>
      <c r="C64" s="22" t="s">
        <v>19</v>
      </c>
      <c r="D64" s="22" t="s">
        <v>34</v>
      </c>
      <c r="E64" s="23">
        <v>1.0</v>
      </c>
      <c r="F64" s="23">
        <v>0.551418</v>
      </c>
    </row>
    <row r="65">
      <c r="A65" s="22" t="s">
        <v>33</v>
      </c>
      <c r="B65" s="22" t="s">
        <v>18</v>
      </c>
      <c r="C65" s="22" t="s">
        <v>19</v>
      </c>
      <c r="D65" s="22" t="s">
        <v>34</v>
      </c>
      <c r="E65" s="23">
        <v>1.0</v>
      </c>
      <c r="F65" s="23">
        <v>0.591852</v>
      </c>
    </row>
    <row r="66">
      <c r="A66" s="22" t="s">
        <v>33</v>
      </c>
      <c r="B66" s="22" t="s">
        <v>18</v>
      </c>
      <c r="C66" s="22" t="s">
        <v>19</v>
      </c>
      <c r="D66" s="22" t="s">
        <v>34</v>
      </c>
      <c r="E66" s="23">
        <v>1.0</v>
      </c>
      <c r="F66" s="23">
        <v>0.600762</v>
      </c>
    </row>
    <row r="67">
      <c r="A67" s="22" t="s">
        <v>33</v>
      </c>
      <c r="B67" s="22" t="s">
        <v>18</v>
      </c>
      <c r="C67" s="22" t="s">
        <v>19</v>
      </c>
      <c r="D67" s="22" t="s">
        <v>34</v>
      </c>
      <c r="E67" s="23">
        <v>1.0</v>
      </c>
      <c r="F67" s="23">
        <v>0.630428</v>
      </c>
    </row>
    <row r="68">
      <c r="A68" s="22" t="s">
        <v>33</v>
      </c>
      <c r="B68" s="22" t="s">
        <v>18</v>
      </c>
      <c r="C68" s="22" t="s">
        <v>19</v>
      </c>
      <c r="D68" s="22" t="s">
        <v>34</v>
      </c>
      <c r="E68" s="23">
        <v>1.0</v>
      </c>
      <c r="F68" s="23">
        <v>0.703372</v>
      </c>
    </row>
    <row r="69">
      <c r="A69" s="22" t="s">
        <v>33</v>
      </c>
      <c r="B69" s="22" t="s">
        <v>18</v>
      </c>
      <c r="C69" s="22" t="s">
        <v>19</v>
      </c>
      <c r="D69" s="22" t="s">
        <v>34</v>
      </c>
      <c r="E69" s="23">
        <v>1.0</v>
      </c>
      <c r="F69" s="23">
        <v>0.543068</v>
      </c>
    </row>
    <row r="70">
      <c r="A70" s="22" t="s">
        <v>33</v>
      </c>
      <c r="B70" s="22" t="s">
        <v>18</v>
      </c>
      <c r="C70" s="22" t="s">
        <v>19</v>
      </c>
      <c r="D70" s="22" t="s">
        <v>34</v>
      </c>
      <c r="E70" s="23">
        <v>1.0</v>
      </c>
      <c r="F70" s="23">
        <v>0.566644</v>
      </c>
    </row>
    <row r="71">
      <c r="A71" s="22" t="s">
        <v>33</v>
      </c>
      <c r="B71" s="22" t="s">
        <v>18</v>
      </c>
      <c r="C71" s="22" t="s">
        <v>19</v>
      </c>
      <c r="D71" s="22" t="s">
        <v>34</v>
      </c>
      <c r="E71" s="23">
        <v>1.0</v>
      </c>
      <c r="F71" s="23">
        <v>0.6776</v>
      </c>
    </row>
    <row r="72">
      <c r="A72" s="22" t="s">
        <v>33</v>
      </c>
      <c r="B72" s="22" t="s">
        <v>18</v>
      </c>
      <c r="C72" s="22" t="s">
        <v>19</v>
      </c>
      <c r="D72" s="22" t="s">
        <v>34</v>
      </c>
      <c r="E72" s="23">
        <v>1.0</v>
      </c>
      <c r="F72" s="23">
        <v>0.452263</v>
      </c>
    </row>
    <row r="73">
      <c r="A73" s="22" t="s">
        <v>33</v>
      </c>
      <c r="B73" s="22" t="s">
        <v>18</v>
      </c>
      <c r="C73" s="22" t="s">
        <v>19</v>
      </c>
      <c r="D73" s="22" t="s">
        <v>34</v>
      </c>
      <c r="E73" s="23">
        <v>1.0</v>
      </c>
      <c r="F73" s="23">
        <v>1.796786</v>
      </c>
    </row>
    <row r="74">
      <c r="A74" s="22" t="s">
        <v>33</v>
      </c>
      <c r="B74" s="22" t="s">
        <v>18</v>
      </c>
      <c r="C74" s="22" t="s">
        <v>19</v>
      </c>
      <c r="D74" s="22" t="s">
        <v>34</v>
      </c>
      <c r="E74" s="23">
        <v>1.0</v>
      </c>
      <c r="F74" s="23">
        <v>0.512569</v>
      </c>
    </row>
    <row r="75">
      <c r="A75" s="22" t="s">
        <v>33</v>
      </c>
      <c r="B75" s="22" t="s">
        <v>18</v>
      </c>
      <c r="C75" s="22" t="s">
        <v>19</v>
      </c>
      <c r="D75" s="22" t="s">
        <v>34</v>
      </c>
      <c r="E75" s="23">
        <v>1.0</v>
      </c>
      <c r="F75" s="23">
        <v>0.615879</v>
      </c>
    </row>
    <row r="76">
      <c r="A76" s="22" t="s">
        <v>33</v>
      </c>
      <c r="B76" s="22" t="s">
        <v>18</v>
      </c>
      <c r="C76" s="22" t="s">
        <v>19</v>
      </c>
      <c r="D76" s="22" t="s">
        <v>34</v>
      </c>
      <c r="E76" s="23">
        <v>1.0</v>
      </c>
      <c r="F76" s="23">
        <v>0.758584</v>
      </c>
    </row>
    <row r="77">
      <c r="A77" s="22" t="s">
        <v>33</v>
      </c>
      <c r="B77" s="22" t="s">
        <v>18</v>
      </c>
      <c r="C77" s="22" t="s">
        <v>19</v>
      </c>
      <c r="D77" s="22" t="s">
        <v>34</v>
      </c>
      <c r="E77" s="23">
        <v>1.0</v>
      </c>
      <c r="F77" s="23">
        <v>0.573723</v>
      </c>
    </row>
    <row r="78">
      <c r="A78" s="22" t="s">
        <v>33</v>
      </c>
      <c r="B78" s="22" t="s">
        <v>18</v>
      </c>
      <c r="C78" s="22" t="s">
        <v>19</v>
      </c>
      <c r="D78" s="22" t="s">
        <v>34</v>
      </c>
      <c r="E78" s="23">
        <v>1.0</v>
      </c>
      <c r="F78" s="23">
        <v>0.70946</v>
      </c>
    </row>
    <row r="79">
      <c r="A79" s="22" t="s">
        <v>33</v>
      </c>
      <c r="B79" s="22" t="s">
        <v>18</v>
      </c>
      <c r="C79" s="22" t="s">
        <v>19</v>
      </c>
      <c r="D79" s="22" t="s">
        <v>34</v>
      </c>
      <c r="E79" s="23">
        <v>1.0</v>
      </c>
      <c r="F79" s="23">
        <v>0.62692</v>
      </c>
    </row>
    <row r="80">
      <c r="A80" s="22" t="s">
        <v>33</v>
      </c>
      <c r="B80" s="22" t="s">
        <v>18</v>
      </c>
      <c r="C80" s="22" t="s">
        <v>19</v>
      </c>
      <c r="D80" s="22" t="s">
        <v>34</v>
      </c>
      <c r="E80" s="23">
        <v>1.0</v>
      </c>
      <c r="F80" s="23">
        <v>0.512192</v>
      </c>
    </row>
    <row r="81">
      <c r="A81" s="22" t="s">
        <v>33</v>
      </c>
      <c r="B81" s="22" t="s">
        <v>33</v>
      </c>
      <c r="C81" s="22" t="s">
        <v>34</v>
      </c>
      <c r="D81" s="22" t="s">
        <v>34</v>
      </c>
      <c r="E81" s="23">
        <v>1.0</v>
      </c>
      <c r="F81" s="23">
        <v>0.529966</v>
      </c>
    </row>
    <row r="82">
      <c r="A82" s="22" t="s">
        <v>33</v>
      </c>
      <c r="B82" s="22" t="s">
        <v>33</v>
      </c>
      <c r="C82" s="22" t="s">
        <v>34</v>
      </c>
      <c r="D82" s="22" t="s">
        <v>34</v>
      </c>
      <c r="E82" s="23">
        <v>1.0</v>
      </c>
      <c r="F82" s="23">
        <v>0.540431</v>
      </c>
    </row>
    <row r="83">
      <c r="A83" s="22" t="s">
        <v>33</v>
      </c>
      <c r="B83" s="22" t="s">
        <v>33</v>
      </c>
      <c r="C83" s="22" t="s">
        <v>34</v>
      </c>
      <c r="D83" s="22" t="s">
        <v>34</v>
      </c>
      <c r="E83" s="23">
        <v>1.0</v>
      </c>
      <c r="F83" s="23">
        <v>0.43548</v>
      </c>
    </row>
    <row r="84">
      <c r="A84" s="22" t="s">
        <v>33</v>
      </c>
      <c r="B84" s="22" t="s">
        <v>33</v>
      </c>
      <c r="C84" s="22" t="s">
        <v>34</v>
      </c>
      <c r="D84" s="22" t="s">
        <v>34</v>
      </c>
      <c r="E84" s="23">
        <v>1.0</v>
      </c>
      <c r="F84" s="23">
        <v>1.081315</v>
      </c>
    </row>
    <row r="85">
      <c r="A85" s="22" t="s">
        <v>33</v>
      </c>
      <c r="B85" s="22" t="s">
        <v>33</v>
      </c>
      <c r="C85" s="22" t="s">
        <v>34</v>
      </c>
      <c r="D85" s="22" t="s">
        <v>34</v>
      </c>
      <c r="E85" s="23">
        <v>1.0</v>
      </c>
      <c r="F85" s="23">
        <v>0.621432</v>
      </c>
    </row>
    <row r="86">
      <c r="A86" s="22" t="s">
        <v>33</v>
      </c>
      <c r="B86" s="22" t="s">
        <v>33</v>
      </c>
      <c r="C86" s="22" t="s">
        <v>34</v>
      </c>
      <c r="D86" s="22" t="s">
        <v>34</v>
      </c>
      <c r="E86" s="23">
        <v>1.0</v>
      </c>
      <c r="F86" s="23">
        <v>0.577283</v>
      </c>
    </row>
    <row r="87">
      <c r="A87" s="22" t="s">
        <v>33</v>
      </c>
      <c r="B87" s="22" t="s">
        <v>33</v>
      </c>
      <c r="C87" s="22" t="s">
        <v>34</v>
      </c>
      <c r="D87" s="22" t="s">
        <v>34</v>
      </c>
      <c r="E87" s="23">
        <v>1.0</v>
      </c>
      <c r="F87" s="23">
        <v>1.196429</v>
      </c>
    </row>
    <row r="88">
      <c r="A88" s="22" t="s">
        <v>33</v>
      </c>
      <c r="B88" s="22" t="s">
        <v>33</v>
      </c>
      <c r="C88" s="22" t="s">
        <v>34</v>
      </c>
      <c r="D88" s="22" t="s">
        <v>34</v>
      </c>
      <c r="E88" s="23">
        <v>1.0</v>
      </c>
      <c r="F88" s="23">
        <v>1.228267</v>
      </c>
    </row>
    <row r="89">
      <c r="A89" s="22" t="s">
        <v>33</v>
      </c>
      <c r="B89" s="22" t="s">
        <v>33</v>
      </c>
      <c r="C89" s="22" t="s">
        <v>34</v>
      </c>
      <c r="D89" s="22" t="s">
        <v>34</v>
      </c>
      <c r="E89" s="23">
        <v>1.0</v>
      </c>
      <c r="F89" s="23">
        <v>0.382244</v>
      </c>
    </row>
    <row r="90">
      <c r="A90" s="22" t="s">
        <v>33</v>
      </c>
      <c r="B90" s="22" t="s">
        <v>33</v>
      </c>
      <c r="C90" s="22" t="s">
        <v>34</v>
      </c>
      <c r="D90" s="22" t="s">
        <v>34</v>
      </c>
      <c r="E90" s="23">
        <v>1.0</v>
      </c>
      <c r="F90" s="23">
        <v>2.337843</v>
      </c>
    </row>
    <row r="91">
      <c r="A91" s="22" t="s">
        <v>33</v>
      </c>
      <c r="B91" s="22" t="s">
        <v>33</v>
      </c>
      <c r="C91" s="22" t="s">
        <v>34</v>
      </c>
      <c r="D91" s="22" t="s">
        <v>34</v>
      </c>
      <c r="E91" s="23">
        <v>1.0</v>
      </c>
      <c r="F91" s="23">
        <v>0.481388</v>
      </c>
    </row>
    <row r="92">
      <c r="A92" s="22" t="s">
        <v>33</v>
      </c>
      <c r="B92" s="22" t="s">
        <v>33</v>
      </c>
      <c r="C92" s="22" t="s">
        <v>34</v>
      </c>
      <c r="D92" s="22" t="s">
        <v>34</v>
      </c>
      <c r="E92" s="23">
        <v>1.0</v>
      </c>
      <c r="F92" s="23">
        <v>0.672394</v>
      </c>
    </row>
    <row r="93">
      <c r="A93" s="22" t="s">
        <v>33</v>
      </c>
      <c r="B93" s="22" t="s">
        <v>33</v>
      </c>
      <c r="C93" s="22" t="s">
        <v>34</v>
      </c>
      <c r="D93" s="22" t="s">
        <v>34</v>
      </c>
      <c r="E93" s="23">
        <v>1.0</v>
      </c>
      <c r="F93" s="23">
        <v>1.597121</v>
      </c>
    </row>
    <row r="94">
      <c r="A94" s="22" t="s">
        <v>33</v>
      </c>
      <c r="B94" s="22" t="s">
        <v>33</v>
      </c>
      <c r="C94" s="22" t="s">
        <v>34</v>
      </c>
      <c r="D94" s="22" t="s">
        <v>34</v>
      </c>
      <c r="E94" s="23">
        <v>1.0</v>
      </c>
      <c r="F94" s="23">
        <v>4.509418</v>
      </c>
    </row>
    <row r="95">
      <c r="A95" s="22" t="s">
        <v>33</v>
      </c>
      <c r="B95" s="22" t="s">
        <v>33</v>
      </c>
      <c r="C95" s="22" t="s">
        <v>34</v>
      </c>
      <c r="D95" s="22" t="s">
        <v>34</v>
      </c>
      <c r="E95" s="23">
        <v>1.0</v>
      </c>
      <c r="F95" s="23">
        <v>0.51155</v>
      </c>
    </row>
    <row r="96">
      <c r="A96" s="22" t="s">
        <v>33</v>
      </c>
      <c r="B96" s="22" t="s">
        <v>33</v>
      </c>
      <c r="C96" s="22" t="s">
        <v>34</v>
      </c>
      <c r="D96" s="22" t="s">
        <v>34</v>
      </c>
      <c r="E96" s="23">
        <v>1.0</v>
      </c>
      <c r="F96" s="23">
        <v>1.218204</v>
      </c>
    </row>
    <row r="97">
      <c r="A97" s="22" t="s">
        <v>33</v>
      </c>
      <c r="B97" s="22" t="s">
        <v>33</v>
      </c>
      <c r="C97" s="22" t="s">
        <v>34</v>
      </c>
      <c r="D97" s="22" t="s">
        <v>34</v>
      </c>
      <c r="E97" s="23">
        <v>1.0</v>
      </c>
      <c r="F97" s="23">
        <v>0.516335</v>
      </c>
    </row>
    <row r="98">
      <c r="A98" s="22" t="s">
        <v>33</v>
      </c>
      <c r="B98" s="22" t="s">
        <v>33</v>
      </c>
      <c r="C98" s="22" t="s">
        <v>34</v>
      </c>
      <c r="D98" s="22" t="s">
        <v>34</v>
      </c>
      <c r="E98" s="23">
        <v>1.0</v>
      </c>
      <c r="F98" s="23">
        <v>0.509037</v>
      </c>
    </row>
    <row r="99">
      <c r="A99" s="22" t="s">
        <v>33</v>
      </c>
      <c r="B99" s="22" t="s">
        <v>33</v>
      </c>
      <c r="C99" s="22" t="s">
        <v>34</v>
      </c>
      <c r="D99" s="22" t="s">
        <v>34</v>
      </c>
      <c r="E99" s="23">
        <v>1.0</v>
      </c>
      <c r="F99" s="23">
        <v>0.555498</v>
      </c>
    </row>
    <row r="100">
      <c r="A100" s="22" t="s">
        <v>33</v>
      </c>
      <c r="B100" s="22" t="s">
        <v>33</v>
      </c>
      <c r="C100" s="22" t="s">
        <v>34</v>
      </c>
      <c r="D100" s="22" t="s">
        <v>34</v>
      </c>
      <c r="E100" s="23">
        <v>1.0</v>
      </c>
      <c r="F100" s="23">
        <v>1.258575</v>
      </c>
    </row>
    <row r="101">
      <c r="A101" s="22" t="s">
        <v>33</v>
      </c>
      <c r="B101" s="22" t="s">
        <v>33</v>
      </c>
      <c r="C101" s="22" t="s">
        <v>34</v>
      </c>
      <c r="D101" s="22" t="s">
        <v>34</v>
      </c>
      <c r="E101" s="23">
        <v>1.0</v>
      </c>
      <c r="F101" s="23">
        <v>1.023243</v>
      </c>
    </row>
    <row r="102">
      <c r="A102" s="22" t="s">
        <v>33</v>
      </c>
      <c r="B102" s="22" t="s">
        <v>33</v>
      </c>
      <c r="C102" s="22" t="s">
        <v>34</v>
      </c>
      <c r="D102" s="22" t="s">
        <v>34</v>
      </c>
      <c r="E102" s="23">
        <v>1.0</v>
      </c>
      <c r="F102" s="23">
        <v>0.459658</v>
      </c>
    </row>
    <row r="103">
      <c r="A103" s="22" t="s">
        <v>33</v>
      </c>
      <c r="B103" s="22" t="s">
        <v>33</v>
      </c>
      <c r="C103" s="22" t="s">
        <v>34</v>
      </c>
      <c r="D103" s="22" t="s">
        <v>34</v>
      </c>
      <c r="E103" s="23">
        <v>1.0</v>
      </c>
      <c r="F103" s="23">
        <v>1.99181</v>
      </c>
    </row>
    <row r="104">
      <c r="A104" s="22" t="s">
        <v>33</v>
      </c>
      <c r="B104" s="22" t="s">
        <v>33</v>
      </c>
      <c r="C104" s="22" t="s">
        <v>34</v>
      </c>
      <c r="D104" s="22" t="s">
        <v>34</v>
      </c>
      <c r="E104" s="23">
        <v>1.0</v>
      </c>
      <c r="F104" s="23">
        <v>0.544026</v>
      </c>
    </row>
    <row r="105">
      <c r="A105" s="22" t="s">
        <v>33</v>
      </c>
      <c r="B105" s="22" t="s">
        <v>33</v>
      </c>
      <c r="C105" s="22" t="s">
        <v>34</v>
      </c>
      <c r="D105" s="22" t="s">
        <v>34</v>
      </c>
      <c r="E105" s="23">
        <v>1.0</v>
      </c>
      <c r="F105" s="23">
        <v>1.628868</v>
      </c>
    </row>
    <row r="106">
      <c r="A106" s="22" t="s">
        <v>33</v>
      </c>
      <c r="B106" s="22" t="s">
        <v>33</v>
      </c>
      <c r="C106" s="22" t="s">
        <v>34</v>
      </c>
      <c r="D106" s="22" t="s">
        <v>34</v>
      </c>
      <c r="E106" s="23">
        <v>1.0</v>
      </c>
      <c r="F106" s="23">
        <v>0.784113</v>
      </c>
    </row>
    <row r="107">
      <c r="A107" s="22" t="s">
        <v>33</v>
      </c>
      <c r="B107" s="22" t="s">
        <v>33</v>
      </c>
      <c r="C107" s="22" t="s">
        <v>34</v>
      </c>
      <c r="D107" s="22" t="s">
        <v>34</v>
      </c>
      <c r="E107" s="23">
        <v>1.0</v>
      </c>
      <c r="F107" s="23">
        <v>0.537467</v>
      </c>
    </row>
  </sheetData>
  <autoFilter ref="$A$1:$F$107">
    <sortState ref="A1:F107">
      <sortCondition ref="A1:A107"/>
      <sortCondition ref="B1:B107"/>
      <sortCondition ref="C1:C107"/>
    </sortState>
  </autoFilter>
  <mergeCells count="12">
    <mergeCell ref="H3:I3"/>
    <mergeCell ref="H4:I4"/>
    <mergeCell ref="H20:I20"/>
    <mergeCell ref="H21:I21"/>
    <mergeCell ref="H22:I22"/>
    <mergeCell ref="H5:I5"/>
    <mergeCell ref="H6:I6"/>
    <mergeCell ref="H7:I7"/>
    <mergeCell ref="H8:I8"/>
    <mergeCell ref="H19:I19"/>
    <mergeCell ref="H17:I17"/>
    <mergeCell ref="H18:I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19</v>
      </c>
      <c r="D2" s="22" t="s">
        <v>19</v>
      </c>
      <c r="E2" s="23">
        <v>1.0</v>
      </c>
      <c r="F2" s="23">
        <v>0.53486</v>
      </c>
      <c r="H2" s="22"/>
      <c r="I2" s="22"/>
      <c r="J2" s="21" t="s">
        <v>20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19</v>
      </c>
      <c r="D3" s="22" t="s">
        <v>19</v>
      </c>
      <c r="E3" s="23">
        <v>1.0</v>
      </c>
      <c r="F3" s="23">
        <v>0.450964</v>
      </c>
      <c r="H3" s="22" t="s">
        <v>22</v>
      </c>
      <c r="J3" s="25">
        <f>average(J4:J5)</f>
        <v>0.6115259138</v>
      </c>
      <c r="K3" s="24">
        <v>2.0</v>
      </c>
      <c r="L3" s="25">
        <f>60-K3</f>
        <v>58</v>
      </c>
    </row>
    <row r="4">
      <c r="A4" s="22" t="s">
        <v>18</v>
      </c>
      <c r="B4" s="22" t="s">
        <v>18</v>
      </c>
      <c r="C4" s="22" t="s">
        <v>19</v>
      </c>
      <c r="D4" s="22" t="s">
        <v>19</v>
      </c>
      <c r="E4" s="23">
        <v>1.0</v>
      </c>
      <c r="F4" s="23">
        <v>0.9452</v>
      </c>
      <c r="H4" s="22" t="s">
        <v>23</v>
      </c>
      <c r="J4" s="25">
        <f>average(F2:F30)</f>
        <v>0.6597408621</v>
      </c>
      <c r="K4" s="24">
        <v>1.0</v>
      </c>
      <c r="L4" s="25">
        <f t="shared" ref="L4:L5" si="1">30-K4</f>
        <v>29</v>
      </c>
    </row>
    <row r="5">
      <c r="A5" s="22" t="s">
        <v>18</v>
      </c>
      <c r="B5" s="22" t="s">
        <v>18</v>
      </c>
      <c r="C5" s="22" t="s">
        <v>19</v>
      </c>
      <c r="D5" s="22" t="s">
        <v>19</v>
      </c>
      <c r="E5" s="23">
        <v>1.0</v>
      </c>
      <c r="F5" s="23">
        <v>0.419563</v>
      </c>
      <c r="H5" s="22" t="s">
        <v>24</v>
      </c>
      <c r="J5" s="25">
        <f>average(F86:F114)</f>
        <v>0.5633109655</v>
      </c>
      <c r="K5" s="24">
        <v>1.0</v>
      </c>
      <c r="L5" s="25">
        <f t="shared" si="1"/>
        <v>29</v>
      </c>
    </row>
    <row r="6">
      <c r="A6" s="22" t="s">
        <v>18</v>
      </c>
      <c r="B6" s="22" t="s">
        <v>18</v>
      </c>
      <c r="C6" s="22" t="s">
        <v>19</v>
      </c>
      <c r="D6" s="22" t="s">
        <v>19</v>
      </c>
      <c r="E6" s="23">
        <v>1.0</v>
      </c>
      <c r="F6" s="23">
        <v>0.580676</v>
      </c>
      <c r="H6" s="22" t="s">
        <v>25</v>
      </c>
      <c r="J6" s="25">
        <f>average(J7:J8)</f>
        <v>0.5865450774</v>
      </c>
      <c r="K6" s="24">
        <v>5.0</v>
      </c>
      <c r="L6" s="25">
        <f>60-K6</f>
        <v>55</v>
      </c>
    </row>
    <row r="7">
      <c r="A7" s="22" t="s">
        <v>18</v>
      </c>
      <c r="B7" s="22" t="s">
        <v>18</v>
      </c>
      <c r="C7" s="22" t="s">
        <v>19</v>
      </c>
      <c r="D7" s="22" t="s">
        <v>19</v>
      </c>
      <c r="E7" s="23">
        <v>1.0</v>
      </c>
      <c r="F7" s="23">
        <v>0.94197</v>
      </c>
      <c r="H7" s="22" t="s">
        <v>26</v>
      </c>
      <c r="J7" s="25">
        <f>average(F31:F57)</f>
        <v>0.5921283333</v>
      </c>
      <c r="K7" s="24">
        <v>3.0</v>
      </c>
      <c r="L7" s="25">
        <f t="shared" ref="L7:L8" si="2">30-K7</f>
        <v>27</v>
      </c>
    </row>
    <row r="8">
      <c r="A8" s="22" t="s">
        <v>18</v>
      </c>
      <c r="B8" s="22" t="s">
        <v>18</v>
      </c>
      <c r="C8" s="22" t="s">
        <v>19</v>
      </c>
      <c r="D8" s="22" t="s">
        <v>19</v>
      </c>
      <c r="E8" s="23">
        <v>1.0</v>
      </c>
      <c r="F8" s="23">
        <v>0.691976</v>
      </c>
      <c r="H8" s="22" t="s">
        <v>27</v>
      </c>
      <c r="J8" s="25">
        <f>average(F58:F85)</f>
        <v>0.5809618214</v>
      </c>
      <c r="K8" s="24">
        <v>2.0</v>
      </c>
      <c r="L8" s="25">
        <f t="shared" si="2"/>
        <v>28</v>
      </c>
    </row>
    <row r="9">
      <c r="A9" s="22" t="s">
        <v>18</v>
      </c>
      <c r="B9" s="22" t="s">
        <v>18</v>
      </c>
      <c r="C9" s="22" t="s">
        <v>19</v>
      </c>
      <c r="D9" s="22" t="s">
        <v>19</v>
      </c>
      <c r="E9" s="23">
        <v>1.0</v>
      </c>
      <c r="F9" s="23">
        <v>0.492679</v>
      </c>
      <c r="K9" s="26"/>
    </row>
    <row r="10">
      <c r="A10" s="22" t="s">
        <v>18</v>
      </c>
      <c r="B10" s="22" t="s">
        <v>18</v>
      </c>
      <c r="C10" s="22" t="s">
        <v>19</v>
      </c>
      <c r="D10" s="22" t="s">
        <v>19</v>
      </c>
      <c r="E10" s="23">
        <v>1.0</v>
      </c>
      <c r="F10" s="23">
        <v>0.611022</v>
      </c>
      <c r="I10" s="24" t="s">
        <v>28</v>
      </c>
      <c r="J10" s="24" t="s">
        <v>29</v>
      </c>
      <c r="K10" s="26"/>
    </row>
    <row r="11">
      <c r="A11" s="22" t="s">
        <v>18</v>
      </c>
      <c r="B11" s="22" t="s">
        <v>18</v>
      </c>
      <c r="C11" s="22" t="s">
        <v>19</v>
      </c>
      <c r="D11" s="22" t="s">
        <v>19</v>
      </c>
      <c r="E11" s="23">
        <v>1.0</v>
      </c>
      <c r="F11" s="23">
        <v>0.585274</v>
      </c>
      <c r="H11" s="24" t="s">
        <v>30</v>
      </c>
      <c r="I11" s="25">
        <f>J4</f>
        <v>0.6597408621</v>
      </c>
      <c r="J11" s="25">
        <f>J7</f>
        <v>0.5921283333</v>
      </c>
      <c r="K11" s="26"/>
    </row>
    <row r="12">
      <c r="A12" s="22" t="s">
        <v>18</v>
      </c>
      <c r="B12" s="22" t="s">
        <v>18</v>
      </c>
      <c r="C12" s="22" t="s">
        <v>19</v>
      </c>
      <c r="D12" s="22" t="s">
        <v>19</v>
      </c>
      <c r="E12" s="23">
        <v>1.0</v>
      </c>
      <c r="F12" s="23">
        <v>0.587559</v>
      </c>
      <c r="H12" s="24" t="s">
        <v>31</v>
      </c>
      <c r="I12" s="25">
        <f>J8</f>
        <v>0.5809618214</v>
      </c>
      <c r="J12" s="25">
        <f>J5</f>
        <v>0.5633109655</v>
      </c>
      <c r="K12" s="26"/>
    </row>
    <row r="13">
      <c r="A13" s="22" t="s">
        <v>18</v>
      </c>
      <c r="B13" s="22" t="s">
        <v>18</v>
      </c>
      <c r="C13" s="22" t="s">
        <v>19</v>
      </c>
      <c r="D13" s="22" t="s">
        <v>19</v>
      </c>
      <c r="E13" s="23">
        <v>1.0</v>
      </c>
      <c r="F13" s="23">
        <v>0.415182</v>
      </c>
      <c r="H13" s="26"/>
      <c r="I13" s="26"/>
      <c r="J13" s="26"/>
      <c r="K13" s="26"/>
    </row>
    <row r="14">
      <c r="A14" s="22" t="s">
        <v>18</v>
      </c>
      <c r="B14" s="22" t="s">
        <v>18</v>
      </c>
      <c r="C14" s="22" t="s">
        <v>19</v>
      </c>
      <c r="D14" s="22" t="s">
        <v>19</v>
      </c>
      <c r="E14" s="23">
        <v>1.0</v>
      </c>
      <c r="F14" s="23">
        <v>0.493539</v>
      </c>
      <c r="H14" s="24" t="s">
        <v>32</v>
      </c>
      <c r="K14" s="26"/>
    </row>
    <row r="15">
      <c r="A15" s="22" t="s">
        <v>18</v>
      </c>
      <c r="B15" s="22" t="s">
        <v>18</v>
      </c>
      <c r="C15" s="22" t="s">
        <v>19</v>
      </c>
      <c r="D15" s="22" t="s">
        <v>19</v>
      </c>
      <c r="E15" s="23">
        <v>1.0</v>
      </c>
      <c r="F15" s="23">
        <v>0.438563</v>
      </c>
      <c r="H15" s="22" t="s">
        <v>22</v>
      </c>
      <c r="J15" s="25">
        <f>L3/60*100</f>
        <v>96.66666667</v>
      </c>
      <c r="K15" s="26"/>
    </row>
    <row r="16">
      <c r="A16" s="22" t="s">
        <v>18</v>
      </c>
      <c r="B16" s="22" t="s">
        <v>18</v>
      </c>
      <c r="C16" s="22" t="s">
        <v>19</v>
      </c>
      <c r="D16" s="22" t="s">
        <v>19</v>
      </c>
      <c r="E16" s="23">
        <v>1.0</v>
      </c>
      <c r="F16" s="23">
        <v>0.544489</v>
      </c>
      <c r="H16" s="22" t="s">
        <v>23</v>
      </c>
      <c r="J16" s="25">
        <f t="shared" ref="J16:J17" si="3">L4/30*100</f>
        <v>96.66666667</v>
      </c>
      <c r="K16" s="26"/>
    </row>
    <row r="17">
      <c r="A17" s="22" t="s">
        <v>18</v>
      </c>
      <c r="B17" s="22" t="s">
        <v>18</v>
      </c>
      <c r="C17" s="22" t="s">
        <v>19</v>
      </c>
      <c r="D17" s="22" t="s">
        <v>19</v>
      </c>
      <c r="E17" s="23">
        <v>1.0</v>
      </c>
      <c r="F17" s="23">
        <v>0.510878</v>
      </c>
      <c r="H17" s="22" t="s">
        <v>24</v>
      </c>
      <c r="J17" s="24">
        <f t="shared" si="3"/>
        <v>96.66666667</v>
      </c>
      <c r="K17" s="26"/>
    </row>
    <row r="18">
      <c r="A18" s="22" t="s">
        <v>18</v>
      </c>
      <c r="B18" s="22" t="s">
        <v>18</v>
      </c>
      <c r="C18" s="22" t="s">
        <v>19</v>
      </c>
      <c r="D18" s="22" t="s">
        <v>19</v>
      </c>
      <c r="E18" s="23">
        <v>1.0</v>
      </c>
      <c r="F18" s="23">
        <v>0.375487</v>
      </c>
      <c r="H18" s="22" t="s">
        <v>25</v>
      </c>
      <c r="J18" s="25">
        <f>L6/60*100</f>
        <v>91.66666667</v>
      </c>
      <c r="K18" s="26"/>
    </row>
    <row r="19">
      <c r="A19" s="22" t="s">
        <v>18</v>
      </c>
      <c r="B19" s="22" t="s">
        <v>18</v>
      </c>
      <c r="C19" s="22" t="s">
        <v>19</v>
      </c>
      <c r="D19" s="22" t="s">
        <v>19</v>
      </c>
      <c r="E19" s="23">
        <v>1.0</v>
      </c>
      <c r="F19" s="23">
        <v>0.459763</v>
      </c>
      <c r="H19" s="22" t="s">
        <v>26</v>
      </c>
      <c r="J19" s="24">
        <f t="shared" ref="J19:J20" si="4">L7/30*100</f>
        <v>90</v>
      </c>
    </row>
    <row r="20">
      <c r="A20" s="22" t="s">
        <v>18</v>
      </c>
      <c r="B20" s="22" t="s">
        <v>18</v>
      </c>
      <c r="C20" s="22" t="s">
        <v>19</v>
      </c>
      <c r="D20" s="22" t="s">
        <v>19</v>
      </c>
      <c r="E20" s="23">
        <v>1.0</v>
      </c>
      <c r="F20" s="23">
        <v>0.476102</v>
      </c>
      <c r="H20" s="22" t="s">
        <v>27</v>
      </c>
      <c r="J20" s="24">
        <f t="shared" si="4"/>
        <v>93.33333333</v>
      </c>
    </row>
    <row r="21">
      <c r="A21" s="22" t="s">
        <v>18</v>
      </c>
      <c r="B21" s="22" t="s">
        <v>18</v>
      </c>
      <c r="C21" s="22" t="s">
        <v>19</v>
      </c>
      <c r="D21" s="22" t="s">
        <v>19</v>
      </c>
      <c r="E21" s="23">
        <v>1.0</v>
      </c>
      <c r="F21" s="23">
        <v>0.426885</v>
      </c>
    </row>
    <row r="22">
      <c r="A22" s="22" t="s">
        <v>18</v>
      </c>
      <c r="B22" s="22" t="s">
        <v>18</v>
      </c>
      <c r="C22" s="22" t="s">
        <v>19</v>
      </c>
      <c r="D22" s="22" t="s">
        <v>19</v>
      </c>
      <c r="E22" s="23">
        <v>1.0</v>
      </c>
      <c r="F22" s="23">
        <v>0.500984</v>
      </c>
    </row>
    <row r="23">
      <c r="A23" s="22" t="s">
        <v>18</v>
      </c>
      <c r="B23" s="22" t="s">
        <v>18</v>
      </c>
      <c r="C23" s="22" t="s">
        <v>19</v>
      </c>
      <c r="D23" s="22" t="s">
        <v>19</v>
      </c>
      <c r="E23" s="23">
        <v>1.0</v>
      </c>
      <c r="F23" s="23">
        <v>0.494695</v>
      </c>
    </row>
    <row r="24">
      <c r="A24" s="22" t="s">
        <v>18</v>
      </c>
      <c r="B24" s="22" t="s">
        <v>18</v>
      </c>
      <c r="C24" s="22" t="s">
        <v>19</v>
      </c>
      <c r="D24" s="22" t="s">
        <v>19</v>
      </c>
      <c r="E24" s="23">
        <v>1.0</v>
      </c>
      <c r="F24" s="23">
        <v>0.44451</v>
      </c>
    </row>
    <row r="25">
      <c r="A25" s="22" t="s">
        <v>18</v>
      </c>
      <c r="B25" s="22" t="s">
        <v>18</v>
      </c>
      <c r="C25" s="22" t="s">
        <v>19</v>
      </c>
      <c r="D25" s="22" t="s">
        <v>19</v>
      </c>
      <c r="E25" s="23">
        <v>1.0</v>
      </c>
      <c r="F25" s="23">
        <v>0.586095</v>
      </c>
    </row>
    <row r="26">
      <c r="A26" s="22" t="s">
        <v>18</v>
      </c>
      <c r="B26" s="22" t="s">
        <v>18</v>
      </c>
      <c r="C26" s="22" t="s">
        <v>19</v>
      </c>
      <c r="D26" s="22" t="s">
        <v>19</v>
      </c>
      <c r="E26" s="23">
        <v>1.0</v>
      </c>
      <c r="F26" s="23">
        <v>0.590556</v>
      </c>
    </row>
    <row r="27">
      <c r="A27" s="22" t="s">
        <v>18</v>
      </c>
      <c r="B27" s="22" t="s">
        <v>18</v>
      </c>
      <c r="C27" s="22" t="s">
        <v>19</v>
      </c>
      <c r="D27" s="22" t="s">
        <v>19</v>
      </c>
      <c r="E27" s="23">
        <v>1.0</v>
      </c>
      <c r="F27" s="23">
        <v>3.837535</v>
      </c>
    </row>
    <row r="28">
      <c r="A28" s="22" t="s">
        <v>18</v>
      </c>
      <c r="B28" s="22" t="s">
        <v>18</v>
      </c>
      <c r="C28" s="22" t="s">
        <v>19</v>
      </c>
      <c r="D28" s="22" t="s">
        <v>19</v>
      </c>
      <c r="E28" s="23">
        <v>1.0</v>
      </c>
      <c r="F28" s="23">
        <v>0.538095</v>
      </c>
    </row>
    <row r="29">
      <c r="A29" s="22" t="s">
        <v>18</v>
      </c>
      <c r="B29" s="22" t="s">
        <v>18</v>
      </c>
      <c r="C29" s="22" t="s">
        <v>19</v>
      </c>
      <c r="D29" s="22" t="s">
        <v>19</v>
      </c>
      <c r="E29" s="23">
        <v>1.0</v>
      </c>
      <c r="F29" s="23">
        <v>0.544855</v>
      </c>
    </row>
    <row r="30">
      <c r="A30" s="22" t="s">
        <v>18</v>
      </c>
      <c r="B30" s="22" t="s">
        <v>18</v>
      </c>
      <c r="C30" s="22" t="s">
        <v>19</v>
      </c>
      <c r="D30" s="22" t="s">
        <v>19</v>
      </c>
      <c r="E30" s="23">
        <v>1.0</v>
      </c>
      <c r="F30" s="23">
        <v>0.612529</v>
      </c>
    </row>
    <row r="31">
      <c r="A31" s="22" t="s">
        <v>18</v>
      </c>
      <c r="B31" s="22" t="s">
        <v>33</v>
      </c>
      <c r="C31" s="22" t="s">
        <v>34</v>
      </c>
      <c r="D31" s="22" t="s">
        <v>19</v>
      </c>
      <c r="E31" s="23">
        <v>1.0</v>
      </c>
      <c r="F31" s="23">
        <v>0.494548</v>
      </c>
    </row>
    <row r="32">
      <c r="A32" s="22" t="s">
        <v>18</v>
      </c>
      <c r="B32" s="22" t="s">
        <v>33</v>
      </c>
      <c r="C32" s="22" t="s">
        <v>34</v>
      </c>
      <c r="D32" s="22" t="s">
        <v>19</v>
      </c>
      <c r="E32" s="23">
        <v>1.0</v>
      </c>
      <c r="F32" s="23">
        <v>0.461863</v>
      </c>
    </row>
    <row r="33">
      <c r="A33" s="22" t="s">
        <v>18</v>
      </c>
      <c r="B33" s="22" t="s">
        <v>33</v>
      </c>
      <c r="C33" s="22" t="s">
        <v>34</v>
      </c>
      <c r="D33" s="22" t="s">
        <v>19</v>
      </c>
      <c r="E33" s="23">
        <v>1.0</v>
      </c>
      <c r="F33" s="23">
        <v>0.480347</v>
      </c>
    </row>
    <row r="34">
      <c r="A34" s="22" t="s">
        <v>18</v>
      </c>
      <c r="B34" s="22" t="s">
        <v>33</v>
      </c>
      <c r="C34" s="22" t="s">
        <v>34</v>
      </c>
      <c r="D34" s="22" t="s">
        <v>19</v>
      </c>
      <c r="E34" s="23">
        <v>1.0</v>
      </c>
      <c r="F34" s="23">
        <v>0.442371</v>
      </c>
    </row>
    <row r="35">
      <c r="A35" s="22" t="s">
        <v>18</v>
      </c>
      <c r="B35" s="22" t="s">
        <v>33</v>
      </c>
      <c r="C35" s="22" t="s">
        <v>34</v>
      </c>
      <c r="D35" s="22" t="s">
        <v>19</v>
      </c>
      <c r="E35" s="23">
        <v>1.0</v>
      </c>
      <c r="F35" s="23">
        <v>0.58523</v>
      </c>
    </row>
    <row r="36">
      <c r="A36" s="22" t="s">
        <v>18</v>
      </c>
      <c r="B36" s="22" t="s">
        <v>33</v>
      </c>
      <c r="C36" s="22" t="s">
        <v>34</v>
      </c>
      <c r="D36" s="22" t="s">
        <v>19</v>
      </c>
      <c r="E36" s="23">
        <v>1.0</v>
      </c>
      <c r="F36" s="23">
        <v>1.387524</v>
      </c>
    </row>
    <row r="37">
      <c r="A37" s="22" t="s">
        <v>18</v>
      </c>
      <c r="B37" s="22" t="s">
        <v>33</v>
      </c>
      <c r="C37" s="22" t="s">
        <v>34</v>
      </c>
      <c r="D37" s="22" t="s">
        <v>19</v>
      </c>
      <c r="E37" s="23">
        <v>1.0</v>
      </c>
      <c r="F37" s="23">
        <v>0.532339</v>
      </c>
    </row>
    <row r="38">
      <c r="A38" s="22" t="s">
        <v>18</v>
      </c>
      <c r="B38" s="22" t="s">
        <v>33</v>
      </c>
      <c r="C38" s="22" t="s">
        <v>34</v>
      </c>
      <c r="D38" s="22" t="s">
        <v>19</v>
      </c>
      <c r="E38" s="23">
        <v>1.0</v>
      </c>
      <c r="F38" s="23">
        <v>0.567476</v>
      </c>
    </row>
    <row r="39">
      <c r="A39" s="22" t="s">
        <v>18</v>
      </c>
      <c r="B39" s="22" t="s">
        <v>33</v>
      </c>
      <c r="C39" s="22" t="s">
        <v>34</v>
      </c>
      <c r="D39" s="22" t="s">
        <v>19</v>
      </c>
      <c r="E39" s="23">
        <v>1.0</v>
      </c>
      <c r="F39" s="23">
        <v>0.486077</v>
      </c>
    </row>
    <row r="40">
      <c r="A40" s="22" t="s">
        <v>18</v>
      </c>
      <c r="B40" s="22" t="s">
        <v>33</v>
      </c>
      <c r="C40" s="22" t="s">
        <v>34</v>
      </c>
      <c r="D40" s="22" t="s">
        <v>19</v>
      </c>
      <c r="E40" s="23">
        <v>1.0</v>
      </c>
      <c r="F40" s="23">
        <v>0.526335</v>
      </c>
    </row>
    <row r="41">
      <c r="A41" s="22" t="s">
        <v>18</v>
      </c>
      <c r="B41" s="22" t="s">
        <v>33</v>
      </c>
      <c r="C41" s="22" t="s">
        <v>34</v>
      </c>
      <c r="D41" s="22" t="s">
        <v>19</v>
      </c>
      <c r="E41" s="23">
        <v>1.0</v>
      </c>
      <c r="F41" s="23">
        <v>0.517103</v>
      </c>
    </row>
    <row r="42">
      <c r="A42" s="22" t="s">
        <v>18</v>
      </c>
      <c r="B42" s="22" t="s">
        <v>33</v>
      </c>
      <c r="C42" s="22" t="s">
        <v>34</v>
      </c>
      <c r="D42" s="22" t="s">
        <v>19</v>
      </c>
      <c r="E42" s="23">
        <v>1.0</v>
      </c>
      <c r="F42" s="23">
        <v>0.559714</v>
      </c>
    </row>
    <row r="43">
      <c r="A43" s="22" t="s">
        <v>18</v>
      </c>
      <c r="B43" s="22" t="s">
        <v>33</v>
      </c>
      <c r="C43" s="22" t="s">
        <v>34</v>
      </c>
      <c r="D43" s="22" t="s">
        <v>19</v>
      </c>
      <c r="E43" s="23">
        <v>1.0</v>
      </c>
      <c r="F43" s="23">
        <v>0.566095</v>
      </c>
    </row>
    <row r="44">
      <c r="A44" s="22" t="s">
        <v>18</v>
      </c>
      <c r="B44" s="22" t="s">
        <v>33</v>
      </c>
      <c r="C44" s="22" t="s">
        <v>34</v>
      </c>
      <c r="D44" s="22" t="s">
        <v>19</v>
      </c>
      <c r="E44" s="23">
        <v>1.0</v>
      </c>
      <c r="F44" s="23">
        <v>0.526899</v>
      </c>
    </row>
    <row r="45">
      <c r="A45" s="22" t="s">
        <v>18</v>
      </c>
      <c r="B45" s="22" t="s">
        <v>33</v>
      </c>
      <c r="C45" s="22" t="s">
        <v>34</v>
      </c>
      <c r="D45" s="22" t="s">
        <v>19</v>
      </c>
      <c r="E45" s="23">
        <v>1.0</v>
      </c>
      <c r="F45" s="23">
        <v>0.558573</v>
      </c>
    </row>
    <row r="46">
      <c r="A46" s="22" t="s">
        <v>18</v>
      </c>
      <c r="B46" s="22" t="s">
        <v>33</v>
      </c>
      <c r="C46" s="22" t="s">
        <v>34</v>
      </c>
      <c r="D46" s="22" t="s">
        <v>19</v>
      </c>
      <c r="E46" s="23">
        <v>1.0</v>
      </c>
      <c r="F46" s="23">
        <v>0.646756</v>
      </c>
    </row>
    <row r="47">
      <c r="A47" s="22" t="s">
        <v>18</v>
      </c>
      <c r="B47" s="22" t="s">
        <v>33</v>
      </c>
      <c r="C47" s="22" t="s">
        <v>34</v>
      </c>
      <c r="D47" s="22" t="s">
        <v>19</v>
      </c>
      <c r="E47" s="23">
        <v>1.0</v>
      </c>
      <c r="F47" s="23">
        <v>0.950952</v>
      </c>
    </row>
    <row r="48">
      <c r="A48" s="22" t="s">
        <v>18</v>
      </c>
      <c r="B48" s="22" t="s">
        <v>33</v>
      </c>
      <c r="C48" s="22" t="s">
        <v>34</v>
      </c>
      <c r="D48" s="22" t="s">
        <v>19</v>
      </c>
      <c r="E48" s="23">
        <v>1.0</v>
      </c>
      <c r="F48" s="23">
        <v>0.458826</v>
      </c>
    </row>
    <row r="49">
      <c r="A49" s="22" t="s">
        <v>18</v>
      </c>
      <c r="B49" s="22" t="s">
        <v>33</v>
      </c>
      <c r="C49" s="22" t="s">
        <v>34</v>
      </c>
      <c r="D49" s="22" t="s">
        <v>19</v>
      </c>
      <c r="E49" s="23">
        <v>1.0</v>
      </c>
      <c r="F49" s="23">
        <v>0.548076</v>
      </c>
    </row>
    <row r="50">
      <c r="A50" s="22" t="s">
        <v>18</v>
      </c>
      <c r="B50" s="22" t="s">
        <v>33</v>
      </c>
      <c r="C50" s="22" t="s">
        <v>34</v>
      </c>
      <c r="D50" s="22" t="s">
        <v>19</v>
      </c>
      <c r="E50" s="23">
        <v>1.0</v>
      </c>
      <c r="F50" s="23">
        <v>0.573309</v>
      </c>
    </row>
    <row r="51">
      <c r="A51" s="22" t="s">
        <v>18</v>
      </c>
      <c r="B51" s="22" t="s">
        <v>33</v>
      </c>
      <c r="C51" s="22" t="s">
        <v>34</v>
      </c>
      <c r="D51" s="22" t="s">
        <v>19</v>
      </c>
      <c r="E51" s="23">
        <v>1.0</v>
      </c>
      <c r="F51" s="23">
        <v>0.581545</v>
      </c>
    </row>
    <row r="52">
      <c r="A52" s="22" t="s">
        <v>18</v>
      </c>
      <c r="B52" s="22" t="s">
        <v>33</v>
      </c>
      <c r="C52" s="22" t="s">
        <v>34</v>
      </c>
      <c r="D52" s="22" t="s">
        <v>19</v>
      </c>
      <c r="E52" s="23">
        <v>1.0</v>
      </c>
      <c r="F52" s="23">
        <v>0.492631</v>
      </c>
    </row>
    <row r="53">
      <c r="A53" s="22" t="s">
        <v>18</v>
      </c>
      <c r="B53" s="22" t="s">
        <v>33</v>
      </c>
      <c r="C53" s="22" t="s">
        <v>34</v>
      </c>
      <c r="D53" s="22" t="s">
        <v>19</v>
      </c>
      <c r="E53" s="23">
        <v>1.0</v>
      </c>
      <c r="F53" s="23">
        <v>0.589913</v>
      </c>
    </row>
    <row r="54">
      <c r="A54" s="22" t="s">
        <v>18</v>
      </c>
      <c r="B54" s="22" t="s">
        <v>33</v>
      </c>
      <c r="C54" s="22" t="s">
        <v>34</v>
      </c>
      <c r="D54" s="22" t="s">
        <v>19</v>
      </c>
      <c r="E54" s="23">
        <v>1.0</v>
      </c>
      <c r="F54" s="23">
        <v>0.876743</v>
      </c>
    </row>
    <row r="55">
      <c r="A55" s="22" t="s">
        <v>18</v>
      </c>
      <c r="B55" s="22" t="s">
        <v>33</v>
      </c>
      <c r="C55" s="22" t="s">
        <v>34</v>
      </c>
      <c r="D55" s="22" t="s">
        <v>19</v>
      </c>
      <c r="E55" s="23">
        <v>1.0</v>
      </c>
      <c r="F55" s="23">
        <v>0.470759</v>
      </c>
    </row>
    <row r="56">
      <c r="A56" s="22" t="s">
        <v>18</v>
      </c>
      <c r="B56" s="22" t="s">
        <v>33</v>
      </c>
      <c r="C56" s="22" t="s">
        <v>34</v>
      </c>
      <c r="D56" s="22" t="s">
        <v>19</v>
      </c>
      <c r="E56" s="23">
        <v>1.0</v>
      </c>
      <c r="F56" s="23">
        <v>0.551919</v>
      </c>
    </row>
    <row r="57">
      <c r="A57" s="22" t="s">
        <v>18</v>
      </c>
      <c r="B57" s="22" t="s">
        <v>33</v>
      </c>
      <c r="C57" s="22" t="s">
        <v>34</v>
      </c>
      <c r="D57" s="22" t="s">
        <v>19</v>
      </c>
      <c r="E57" s="23">
        <v>1.0</v>
      </c>
      <c r="F57" s="23">
        <v>0.553542</v>
      </c>
    </row>
    <row r="58">
      <c r="A58" s="22" t="s">
        <v>33</v>
      </c>
      <c r="B58" s="22" t="s">
        <v>18</v>
      </c>
      <c r="C58" s="22" t="s">
        <v>34</v>
      </c>
      <c r="D58" s="22" t="s">
        <v>19</v>
      </c>
      <c r="E58" s="23">
        <v>1.0</v>
      </c>
      <c r="F58" s="23">
        <v>0.492977</v>
      </c>
    </row>
    <row r="59">
      <c r="A59" s="22" t="s">
        <v>33</v>
      </c>
      <c r="B59" s="22" t="s">
        <v>18</v>
      </c>
      <c r="C59" s="22" t="s">
        <v>34</v>
      </c>
      <c r="D59" s="22" t="s">
        <v>19</v>
      </c>
      <c r="E59" s="23">
        <v>1.0</v>
      </c>
      <c r="F59" s="23">
        <v>0.51605</v>
      </c>
    </row>
    <row r="60">
      <c r="A60" s="22" t="s">
        <v>33</v>
      </c>
      <c r="B60" s="22" t="s">
        <v>18</v>
      </c>
      <c r="C60" s="22" t="s">
        <v>34</v>
      </c>
      <c r="D60" s="22" t="s">
        <v>19</v>
      </c>
      <c r="E60" s="23">
        <v>1.0</v>
      </c>
      <c r="F60" s="23">
        <v>0.631984</v>
      </c>
    </row>
    <row r="61">
      <c r="A61" s="22" t="s">
        <v>33</v>
      </c>
      <c r="B61" s="22" t="s">
        <v>18</v>
      </c>
      <c r="C61" s="22" t="s">
        <v>34</v>
      </c>
      <c r="D61" s="22" t="s">
        <v>19</v>
      </c>
      <c r="E61" s="23">
        <v>1.0</v>
      </c>
      <c r="F61" s="23">
        <v>1.261855</v>
      </c>
    </row>
    <row r="62">
      <c r="A62" s="22" t="s">
        <v>33</v>
      </c>
      <c r="B62" s="22" t="s">
        <v>18</v>
      </c>
      <c r="C62" s="22" t="s">
        <v>34</v>
      </c>
      <c r="D62" s="22" t="s">
        <v>19</v>
      </c>
      <c r="E62" s="23">
        <v>1.0</v>
      </c>
      <c r="F62" s="23">
        <v>0.540508</v>
      </c>
    </row>
    <row r="63">
      <c r="A63" s="22" t="s">
        <v>33</v>
      </c>
      <c r="B63" s="22" t="s">
        <v>18</v>
      </c>
      <c r="C63" s="22" t="s">
        <v>34</v>
      </c>
      <c r="D63" s="22" t="s">
        <v>19</v>
      </c>
      <c r="E63" s="23">
        <v>1.0</v>
      </c>
      <c r="F63" s="23">
        <v>0.597391</v>
      </c>
    </row>
    <row r="64">
      <c r="A64" s="22" t="s">
        <v>33</v>
      </c>
      <c r="B64" s="22" t="s">
        <v>18</v>
      </c>
      <c r="C64" s="22" t="s">
        <v>34</v>
      </c>
      <c r="D64" s="22" t="s">
        <v>19</v>
      </c>
      <c r="E64" s="23">
        <v>1.0</v>
      </c>
      <c r="F64" s="23">
        <v>0.594971</v>
      </c>
    </row>
    <row r="65">
      <c r="A65" s="22" t="s">
        <v>33</v>
      </c>
      <c r="B65" s="22" t="s">
        <v>18</v>
      </c>
      <c r="C65" s="22" t="s">
        <v>34</v>
      </c>
      <c r="D65" s="22" t="s">
        <v>19</v>
      </c>
      <c r="E65" s="23">
        <v>1.0</v>
      </c>
      <c r="F65" s="23">
        <v>0.524388</v>
      </c>
    </row>
    <row r="66">
      <c r="A66" s="22" t="s">
        <v>33</v>
      </c>
      <c r="B66" s="22" t="s">
        <v>18</v>
      </c>
      <c r="C66" s="22" t="s">
        <v>34</v>
      </c>
      <c r="D66" s="22" t="s">
        <v>19</v>
      </c>
      <c r="E66" s="23">
        <v>1.0</v>
      </c>
      <c r="F66" s="23">
        <v>0.553601</v>
      </c>
    </row>
    <row r="67">
      <c r="A67" s="22" t="s">
        <v>33</v>
      </c>
      <c r="B67" s="22" t="s">
        <v>18</v>
      </c>
      <c r="C67" s="22" t="s">
        <v>34</v>
      </c>
      <c r="D67" s="22" t="s">
        <v>19</v>
      </c>
      <c r="E67" s="23">
        <v>1.0</v>
      </c>
      <c r="F67" s="23">
        <v>0.538967</v>
      </c>
    </row>
    <row r="68">
      <c r="A68" s="22" t="s">
        <v>33</v>
      </c>
      <c r="B68" s="22" t="s">
        <v>18</v>
      </c>
      <c r="C68" s="22" t="s">
        <v>34</v>
      </c>
      <c r="D68" s="22" t="s">
        <v>19</v>
      </c>
      <c r="E68" s="23">
        <v>1.0</v>
      </c>
      <c r="F68" s="23">
        <v>0.54039</v>
      </c>
    </row>
    <row r="69">
      <c r="A69" s="22" t="s">
        <v>33</v>
      </c>
      <c r="B69" s="22" t="s">
        <v>18</v>
      </c>
      <c r="C69" s="22" t="s">
        <v>34</v>
      </c>
      <c r="D69" s="22" t="s">
        <v>19</v>
      </c>
      <c r="E69" s="23">
        <v>1.0</v>
      </c>
      <c r="F69" s="23">
        <v>0.46732</v>
      </c>
    </row>
    <row r="70">
      <c r="A70" s="22" t="s">
        <v>33</v>
      </c>
      <c r="B70" s="22" t="s">
        <v>18</v>
      </c>
      <c r="C70" s="22" t="s">
        <v>34</v>
      </c>
      <c r="D70" s="22" t="s">
        <v>19</v>
      </c>
      <c r="E70" s="23">
        <v>1.0</v>
      </c>
      <c r="F70" s="23">
        <v>0.54099</v>
      </c>
    </row>
    <row r="71">
      <c r="A71" s="22" t="s">
        <v>33</v>
      </c>
      <c r="B71" s="22" t="s">
        <v>18</v>
      </c>
      <c r="C71" s="22" t="s">
        <v>34</v>
      </c>
      <c r="D71" s="22" t="s">
        <v>19</v>
      </c>
      <c r="E71" s="23">
        <v>1.0</v>
      </c>
      <c r="F71" s="23">
        <v>0.620597</v>
      </c>
    </row>
    <row r="72">
      <c r="A72" s="22" t="s">
        <v>33</v>
      </c>
      <c r="B72" s="22" t="s">
        <v>18</v>
      </c>
      <c r="C72" s="22" t="s">
        <v>34</v>
      </c>
      <c r="D72" s="22" t="s">
        <v>19</v>
      </c>
      <c r="E72" s="23">
        <v>1.0</v>
      </c>
      <c r="F72" s="23">
        <v>0.468624</v>
      </c>
    </row>
    <row r="73">
      <c r="A73" s="22" t="s">
        <v>33</v>
      </c>
      <c r="B73" s="22" t="s">
        <v>18</v>
      </c>
      <c r="C73" s="22" t="s">
        <v>34</v>
      </c>
      <c r="D73" s="22" t="s">
        <v>19</v>
      </c>
      <c r="E73" s="23">
        <v>1.0</v>
      </c>
      <c r="F73" s="23">
        <v>0.637317</v>
      </c>
    </row>
    <row r="74">
      <c r="A74" s="22" t="s">
        <v>33</v>
      </c>
      <c r="B74" s="22" t="s">
        <v>18</v>
      </c>
      <c r="C74" s="22" t="s">
        <v>34</v>
      </c>
      <c r="D74" s="22" t="s">
        <v>19</v>
      </c>
      <c r="E74" s="23">
        <v>1.0</v>
      </c>
      <c r="F74" s="23">
        <v>0.602843</v>
      </c>
    </row>
    <row r="75">
      <c r="A75" s="22" t="s">
        <v>33</v>
      </c>
      <c r="B75" s="22" t="s">
        <v>18</v>
      </c>
      <c r="C75" s="22" t="s">
        <v>34</v>
      </c>
      <c r="D75" s="22" t="s">
        <v>19</v>
      </c>
      <c r="E75" s="23">
        <v>1.0</v>
      </c>
      <c r="F75" s="23">
        <v>0.602449</v>
      </c>
    </row>
    <row r="76">
      <c r="A76" s="22" t="s">
        <v>33</v>
      </c>
      <c r="B76" s="22" t="s">
        <v>18</v>
      </c>
      <c r="C76" s="22" t="s">
        <v>34</v>
      </c>
      <c r="D76" s="22" t="s">
        <v>19</v>
      </c>
      <c r="E76" s="23">
        <v>1.0</v>
      </c>
      <c r="F76" s="23">
        <v>0.476798</v>
      </c>
    </row>
    <row r="77">
      <c r="A77" s="22" t="s">
        <v>33</v>
      </c>
      <c r="B77" s="22" t="s">
        <v>18</v>
      </c>
      <c r="C77" s="22" t="s">
        <v>34</v>
      </c>
      <c r="D77" s="22" t="s">
        <v>19</v>
      </c>
      <c r="E77" s="23">
        <v>1.0</v>
      </c>
      <c r="F77" s="23">
        <v>0.407763</v>
      </c>
    </row>
    <row r="78">
      <c r="A78" s="22" t="s">
        <v>33</v>
      </c>
      <c r="B78" s="22" t="s">
        <v>18</v>
      </c>
      <c r="C78" s="22" t="s">
        <v>34</v>
      </c>
      <c r="D78" s="22" t="s">
        <v>19</v>
      </c>
      <c r="E78" s="23">
        <v>1.0</v>
      </c>
      <c r="F78" s="23">
        <v>0.511735</v>
      </c>
    </row>
    <row r="79">
      <c r="A79" s="22" t="s">
        <v>33</v>
      </c>
      <c r="B79" s="22" t="s">
        <v>18</v>
      </c>
      <c r="C79" s="22" t="s">
        <v>34</v>
      </c>
      <c r="D79" s="22" t="s">
        <v>19</v>
      </c>
      <c r="E79" s="23">
        <v>1.0</v>
      </c>
      <c r="F79" s="23">
        <v>0.523212</v>
      </c>
    </row>
    <row r="80">
      <c r="A80" s="22" t="s">
        <v>33</v>
      </c>
      <c r="B80" s="22" t="s">
        <v>18</v>
      </c>
      <c r="C80" s="22" t="s">
        <v>34</v>
      </c>
      <c r="D80" s="22" t="s">
        <v>19</v>
      </c>
      <c r="E80" s="23">
        <v>1.0</v>
      </c>
      <c r="F80" s="23">
        <v>0.527175</v>
      </c>
    </row>
    <row r="81">
      <c r="A81" s="22" t="s">
        <v>33</v>
      </c>
      <c r="B81" s="22" t="s">
        <v>18</v>
      </c>
      <c r="C81" s="22" t="s">
        <v>34</v>
      </c>
      <c r="D81" s="22" t="s">
        <v>19</v>
      </c>
      <c r="E81" s="23">
        <v>1.0</v>
      </c>
      <c r="F81" s="23">
        <v>0.755365</v>
      </c>
    </row>
    <row r="82">
      <c r="A82" s="22" t="s">
        <v>33</v>
      </c>
      <c r="B82" s="22" t="s">
        <v>18</v>
      </c>
      <c r="C82" s="22" t="s">
        <v>34</v>
      </c>
      <c r="D82" s="22" t="s">
        <v>19</v>
      </c>
      <c r="E82" s="23">
        <v>1.0</v>
      </c>
      <c r="F82" s="23">
        <v>0.652083</v>
      </c>
    </row>
    <row r="83">
      <c r="A83" s="22" t="s">
        <v>33</v>
      </c>
      <c r="B83" s="22" t="s">
        <v>18</v>
      </c>
      <c r="C83" s="22" t="s">
        <v>34</v>
      </c>
      <c r="D83" s="22" t="s">
        <v>19</v>
      </c>
      <c r="E83" s="23">
        <v>1.0</v>
      </c>
      <c r="F83" s="23">
        <v>0.533988</v>
      </c>
    </row>
    <row r="84">
      <c r="A84" s="22" t="s">
        <v>33</v>
      </c>
      <c r="B84" s="22" t="s">
        <v>18</v>
      </c>
      <c r="C84" s="22" t="s">
        <v>34</v>
      </c>
      <c r="D84" s="22" t="s">
        <v>19</v>
      </c>
      <c r="E84" s="23">
        <v>1.0</v>
      </c>
      <c r="F84" s="23">
        <v>0.545386</v>
      </c>
    </row>
    <row r="85">
      <c r="A85" s="22" t="s">
        <v>33</v>
      </c>
      <c r="B85" s="22" t="s">
        <v>18</v>
      </c>
      <c r="C85" s="22" t="s">
        <v>34</v>
      </c>
      <c r="D85" s="22" t="s">
        <v>19</v>
      </c>
      <c r="E85" s="23">
        <v>1.0</v>
      </c>
      <c r="F85" s="23">
        <v>0.600204</v>
      </c>
    </row>
    <row r="86">
      <c r="A86" s="22" t="s">
        <v>33</v>
      </c>
      <c r="B86" s="22" t="s">
        <v>33</v>
      </c>
      <c r="C86" s="22" t="s">
        <v>19</v>
      </c>
      <c r="D86" s="22" t="s">
        <v>19</v>
      </c>
      <c r="E86" s="23">
        <v>1.0</v>
      </c>
      <c r="F86" s="23">
        <v>0.40435</v>
      </c>
    </row>
    <row r="87">
      <c r="A87" s="22" t="s">
        <v>33</v>
      </c>
      <c r="B87" s="22" t="s">
        <v>33</v>
      </c>
      <c r="C87" s="22" t="s">
        <v>19</v>
      </c>
      <c r="D87" s="22" t="s">
        <v>19</v>
      </c>
      <c r="E87" s="23">
        <v>1.0</v>
      </c>
      <c r="F87" s="23">
        <v>0.42882</v>
      </c>
    </row>
    <row r="88">
      <c r="A88" s="22" t="s">
        <v>33</v>
      </c>
      <c r="B88" s="22" t="s">
        <v>33</v>
      </c>
      <c r="C88" s="22" t="s">
        <v>19</v>
      </c>
      <c r="D88" s="22" t="s">
        <v>19</v>
      </c>
      <c r="E88" s="23">
        <v>1.0</v>
      </c>
      <c r="F88" s="23">
        <v>0.370163</v>
      </c>
    </row>
    <row r="89">
      <c r="A89" s="22" t="s">
        <v>33</v>
      </c>
      <c r="B89" s="22" t="s">
        <v>33</v>
      </c>
      <c r="C89" s="22" t="s">
        <v>19</v>
      </c>
      <c r="D89" s="22" t="s">
        <v>19</v>
      </c>
      <c r="E89" s="23">
        <v>1.0</v>
      </c>
      <c r="F89" s="23">
        <v>0.379505</v>
      </c>
    </row>
    <row r="90">
      <c r="A90" s="22" t="s">
        <v>33</v>
      </c>
      <c r="B90" s="22" t="s">
        <v>33</v>
      </c>
      <c r="C90" s="22" t="s">
        <v>19</v>
      </c>
      <c r="D90" s="22" t="s">
        <v>19</v>
      </c>
      <c r="E90" s="23">
        <v>1.0</v>
      </c>
      <c r="F90" s="23">
        <v>0.412907</v>
      </c>
    </row>
    <row r="91">
      <c r="A91" s="22" t="s">
        <v>33</v>
      </c>
      <c r="B91" s="22" t="s">
        <v>33</v>
      </c>
      <c r="C91" s="22" t="s">
        <v>19</v>
      </c>
      <c r="D91" s="22" t="s">
        <v>19</v>
      </c>
      <c r="E91" s="23">
        <v>1.0</v>
      </c>
      <c r="F91" s="23">
        <v>0.997294</v>
      </c>
    </row>
    <row r="92">
      <c r="A92" s="22" t="s">
        <v>33</v>
      </c>
      <c r="B92" s="22" t="s">
        <v>33</v>
      </c>
      <c r="C92" s="22" t="s">
        <v>19</v>
      </c>
      <c r="D92" s="22" t="s">
        <v>19</v>
      </c>
      <c r="E92" s="23">
        <v>1.0</v>
      </c>
      <c r="F92" s="23">
        <v>0.521361</v>
      </c>
    </row>
    <row r="93">
      <c r="A93" s="22" t="s">
        <v>33</v>
      </c>
      <c r="B93" s="22" t="s">
        <v>33</v>
      </c>
      <c r="C93" s="22" t="s">
        <v>19</v>
      </c>
      <c r="D93" s="22" t="s">
        <v>19</v>
      </c>
      <c r="E93" s="23">
        <v>1.0</v>
      </c>
      <c r="F93" s="23">
        <v>0.560701</v>
      </c>
    </row>
    <row r="94">
      <c r="A94" s="22" t="s">
        <v>33</v>
      </c>
      <c r="B94" s="22" t="s">
        <v>33</v>
      </c>
      <c r="C94" s="22" t="s">
        <v>19</v>
      </c>
      <c r="D94" s="22" t="s">
        <v>19</v>
      </c>
      <c r="E94" s="23">
        <v>1.0</v>
      </c>
      <c r="F94" s="23">
        <v>0.463931</v>
      </c>
    </row>
    <row r="95">
      <c r="A95" s="22" t="s">
        <v>33</v>
      </c>
      <c r="B95" s="22" t="s">
        <v>33</v>
      </c>
      <c r="C95" s="22" t="s">
        <v>19</v>
      </c>
      <c r="D95" s="22" t="s">
        <v>19</v>
      </c>
      <c r="E95" s="23">
        <v>1.0</v>
      </c>
      <c r="F95" s="23">
        <v>1.743724</v>
      </c>
    </row>
    <row r="96">
      <c r="A96" s="22" t="s">
        <v>33</v>
      </c>
      <c r="B96" s="22" t="s">
        <v>33</v>
      </c>
      <c r="C96" s="22" t="s">
        <v>19</v>
      </c>
      <c r="D96" s="22" t="s">
        <v>19</v>
      </c>
      <c r="E96" s="23">
        <v>1.0</v>
      </c>
      <c r="F96" s="23">
        <v>0.491095</v>
      </c>
    </row>
    <row r="97">
      <c r="A97" s="22" t="s">
        <v>33</v>
      </c>
      <c r="B97" s="22" t="s">
        <v>33</v>
      </c>
      <c r="C97" s="22" t="s">
        <v>19</v>
      </c>
      <c r="D97" s="22" t="s">
        <v>19</v>
      </c>
      <c r="E97" s="23">
        <v>1.0</v>
      </c>
      <c r="F97" s="23">
        <v>0.527445</v>
      </c>
    </row>
    <row r="98">
      <c r="A98" s="22" t="s">
        <v>33</v>
      </c>
      <c r="B98" s="22" t="s">
        <v>33</v>
      </c>
      <c r="C98" s="22" t="s">
        <v>19</v>
      </c>
      <c r="D98" s="22" t="s">
        <v>19</v>
      </c>
      <c r="E98" s="23">
        <v>1.0</v>
      </c>
      <c r="F98" s="23">
        <v>0.358965</v>
      </c>
    </row>
    <row r="99">
      <c r="A99" s="22" t="s">
        <v>33</v>
      </c>
      <c r="B99" s="22" t="s">
        <v>33</v>
      </c>
      <c r="C99" s="22" t="s">
        <v>19</v>
      </c>
      <c r="D99" s="22" t="s">
        <v>19</v>
      </c>
      <c r="E99" s="23">
        <v>1.0</v>
      </c>
      <c r="F99" s="23">
        <v>0.38005</v>
      </c>
    </row>
    <row r="100">
      <c r="A100" s="22" t="s">
        <v>33</v>
      </c>
      <c r="B100" s="22" t="s">
        <v>33</v>
      </c>
      <c r="C100" s="22" t="s">
        <v>19</v>
      </c>
      <c r="D100" s="22" t="s">
        <v>19</v>
      </c>
      <c r="E100" s="23">
        <v>1.0</v>
      </c>
      <c r="F100" s="23">
        <v>0.397113</v>
      </c>
    </row>
    <row r="101">
      <c r="A101" s="22" t="s">
        <v>33</v>
      </c>
      <c r="B101" s="22" t="s">
        <v>33</v>
      </c>
      <c r="C101" s="22" t="s">
        <v>19</v>
      </c>
      <c r="D101" s="22" t="s">
        <v>19</v>
      </c>
      <c r="E101" s="23">
        <v>1.0</v>
      </c>
      <c r="F101" s="23">
        <v>0.555444</v>
      </c>
    </row>
    <row r="102">
      <c r="A102" s="22" t="s">
        <v>33</v>
      </c>
      <c r="B102" s="22" t="s">
        <v>33</v>
      </c>
      <c r="C102" s="22" t="s">
        <v>19</v>
      </c>
      <c r="D102" s="22" t="s">
        <v>19</v>
      </c>
      <c r="E102" s="23">
        <v>1.0</v>
      </c>
      <c r="F102" s="23">
        <v>0.430227</v>
      </c>
    </row>
    <row r="103">
      <c r="A103" s="22" t="s">
        <v>33</v>
      </c>
      <c r="B103" s="22" t="s">
        <v>33</v>
      </c>
      <c r="C103" s="22" t="s">
        <v>19</v>
      </c>
      <c r="D103" s="22" t="s">
        <v>19</v>
      </c>
      <c r="E103" s="23">
        <v>1.0</v>
      </c>
      <c r="F103" s="23">
        <v>0.56858</v>
      </c>
    </row>
    <row r="104">
      <c r="A104" s="22" t="s">
        <v>33</v>
      </c>
      <c r="B104" s="22" t="s">
        <v>33</v>
      </c>
      <c r="C104" s="22" t="s">
        <v>19</v>
      </c>
      <c r="D104" s="22" t="s">
        <v>19</v>
      </c>
      <c r="E104" s="23">
        <v>1.0</v>
      </c>
      <c r="F104" s="23">
        <v>0.479564</v>
      </c>
    </row>
    <row r="105">
      <c r="A105" s="22" t="s">
        <v>33</v>
      </c>
      <c r="B105" s="22" t="s">
        <v>33</v>
      </c>
      <c r="C105" s="22" t="s">
        <v>19</v>
      </c>
      <c r="D105" s="22" t="s">
        <v>19</v>
      </c>
      <c r="E105" s="23">
        <v>1.0</v>
      </c>
      <c r="F105" s="23">
        <v>0.521668</v>
      </c>
    </row>
    <row r="106">
      <c r="A106" s="22" t="s">
        <v>33</v>
      </c>
      <c r="B106" s="22" t="s">
        <v>33</v>
      </c>
      <c r="C106" s="22" t="s">
        <v>19</v>
      </c>
      <c r="D106" s="22" t="s">
        <v>19</v>
      </c>
      <c r="E106" s="23">
        <v>1.0</v>
      </c>
      <c r="F106" s="23">
        <v>0.492527</v>
      </c>
    </row>
    <row r="107">
      <c r="A107" s="22" t="s">
        <v>33</v>
      </c>
      <c r="B107" s="22" t="s">
        <v>33</v>
      </c>
      <c r="C107" s="22" t="s">
        <v>19</v>
      </c>
      <c r="D107" s="22" t="s">
        <v>19</v>
      </c>
      <c r="E107" s="23">
        <v>1.0</v>
      </c>
      <c r="F107" s="23">
        <v>0.572567</v>
      </c>
    </row>
    <row r="108">
      <c r="A108" s="22" t="s">
        <v>33</v>
      </c>
      <c r="B108" s="22" t="s">
        <v>33</v>
      </c>
      <c r="C108" s="22" t="s">
        <v>19</v>
      </c>
      <c r="D108" s="22" t="s">
        <v>19</v>
      </c>
      <c r="E108" s="23">
        <v>1.0</v>
      </c>
      <c r="F108" s="23">
        <v>0.771499</v>
      </c>
    </row>
    <row r="109">
      <c r="A109" s="22" t="s">
        <v>33</v>
      </c>
      <c r="B109" s="22" t="s">
        <v>33</v>
      </c>
      <c r="C109" s="22" t="s">
        <v>19</v>
      </c>
      <c r="D109" s="22" t="s">
        <v>19</v>
      </c>
      <c r="E109" s="23">
        <v>1.0</v>
      </c>
      <c r="F109" s="23">
        <v>0.55172</v>
      </c>
    </row>
    <row r="110">
      <c r="A110" s="22" t="s">
        <v>33</v>
      </c>
      <c r="B110" s="22" t="s">
        <v>33</v>
      </c>
      <c r="C110" s="22" t="s">
        <v>19</v>
      </c>
      <c r="D110" s="22" t="s">
        <v>19</v>
      </c>
      <c r="E110" s="23">
        <v>1.0</v>
      </c>
      <c r="F110" s="23">
        <v>0.464321</v>
      </c>
    </row>
    <row r="111">
      <c r="A111" s="22" t="s">
        <v>33</v>
      </c>
      <c r="B111" s="22" t="s">
        <v>33</v>
      </c>
      <c r="C111" s="22" t="s">
        <v>19</v>
      </c>
      <c r="D111" s="22" t="s">
        <v>19</v>
      </c>
      <c r="E111" s="23">
        <v>1.0</v>
      </c>
      <c r="F111" s="23">
        <v>0.540469</v>
      </c>
    </row>
    <row r="112">
      <c r="A112" s="22" t="s">
        <v>33</v>
      </c>
      <c r="B112" s="22" t="s">
        <v>33</v>
      </c>
      <c r="C112" s="22" t="s">
        <v>19</v>
      </c>
      <c r="D112" s="22" t="s">
        <v>19</v>
      </c>
      <c r="E112" s="23">
        <v>1.0</v>
      </c>
      <c r="F112" s="23">
        <v>0.434304</v>
      </c>
    </row>
    <row r="113">
      <c r="A113" s="22" t="s">
        <v>33</v>
      </c>
      <c r="B113" s="22" t="s">
        <v>33</v>
      </c>
      <c r="C113" s="22" t="s">
        <v>19</v>
      </c>
      <c r="D113" s="22" t="s">
        <v>19</v>
      </c>
      <c r="E113" s="23">
        <v>1.0</v>
      </c>
      <c r="F113" s="23">
        <v>0.988828</v>
      </c>
    </row>
    <row r="114">
      <c r="A114" s="22" t="s">
        <v>33</v>
      </c>
      <c r="B114" s="22" t="s">
        <v>33</v>
      </c>
      <c r="C114" s="22" t="s">
        <v>19</v>
      </c>
      <c r="D114" s="22" t="s">
        <v>19</v>
      </c>
      <c r="E114" s="23">
        <v>1.0</v>
      </c>
      <c r="F114" s="23">
        <v>0.526876</v>
      </c>
    </row>
    <row r="115">
      <c r="A115" s="26"/>
      <c r="B115" s="26"/>
      <c r="C115" s="26"/>
      <c r="D115" s="26"/>
      <c r="E115" s="26"/>
      <c r="F115" s="26"/>
    </row>
  </sheetData>
  <autoFilter ref="$A$1:$F$114">
    <sortState ref="A1:F114">
      <sortCondition ref="A1:A114"/>
      <sortCondition ref="B1:B114"/>
      <sortCondition ref="C1:C114"/>
    </sortState>
  </autoFilter>
  <mergeCells count="12">
    <mergeCell ref="H6:I6"/>
    <mergeCell ref="H5:I5"/>
    <mergeCell ref="H19:I19"/>
    <mergeCell ref="H20:I20"/>
    <mergeCell ref="H16:I16"/>
    <mergeCell ref="H15:I15"/>
    <mergeCell ref="H3:I3"/>
    <mergeCell ref="H4:I4"/>
    <mergeCell ref="H7:I7"/>
    <mergeCell ref="H8:I8"/>
    <mergeCell ref="H17:I17"/>
    <mergeCell ref="H18:I1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</v>
      </c>
      <c r="B1" s="21" t="s">
        <v>13</v>
      </c>
      <c r="C1" s="22" t="s">
        <v>14</v>
      </c>
      <c r="D1" s="22" t="s">
        <v>15</v>
      </c>
      <c r="E1" s="22" t="s">
        <v>16</v>
      </c>
      <c r="F1" s="22" t="s">
        <v>17</v>
      </c>
    </row>
    <row r="2">
      <c r="A2" s="22" t="s">
        <v>18</v>
      </c>
      <c r="B2" s="22" t="s">
        <v>18</v>
      </c>
      <c r="C2" s="22" t="s">
        <v>34</v>
      </c>
      <c r="D2" s="22" t="s">
        <v>34</v>
      </c>
      <c r="E2" s="23">
        <v>1.0</v>
      </c>
      <c r="F2" s="23">
        <v>0.551023</v>
      </c>
      <c r="J2" s="24" t="s">
        <v>35</v>
      </c>
      <c r="K2" s="24" t="s">
        <v>21</v>
      </c>
      <c r="L2" s="24" t="s">
        <v>36</v>
      </c>
    </row>
    <row r="3">
      <c r="A3" s="22" t="s">
        <v>18</v>
      </c>
      <c r="B3" s="22" t="s">
        <v>18</v>
      </c>
      <c r="C3" s="22" t="s">
        <v>34</v>
      </c>
      <c r="D3" s="22" t="s">
        <v>34</v>
      </c>
      <c r="E3" s="23">
        <v>1.0</v>
      </c>
      <c r="F3" s="23">
        <v>1.522246</v>
      </c>
      <c r="H3" s="22" t="s">
        <v>22</v>
      </c>
      <c r="J3" s="25">
        <f>average(J4:J5)</f>
        <v>0.8661581902</v>
      </c>
      <c r="K3" s="24">
        <v>7.0</v>
      </c>
      <c r="L3" s="25">
        <f>60-K3</f>
        <v>53</v>
      </c>
    </row>
    <row r="4">
      <c r="A4" s="22" t="s">
        <v>18</v>
      </c>
      <c r="B4" s="22" t="s">
        <v>18</v>
      </c>
      <c r="C4" s="22" t="s">
        <v>34</v>
      </c>
      <c r="D4" s="22" t="s">
        <v>34</v>
      </c>
      <c r="E4" s="23">
        <v>1.0</v>
      </c>
      <c r="F4" s="23">
        <v>0.769726</v>
      </c>
      <c r="H4" s="22" t="s">
        <v>23</v>
      </c>
      <c r="J4" s="25">
        <f>average(F55:F80)</f>
        <v>0.9900522692</v>
      </c>
      <c r="K4" s="24">
        <v>4.0</v>
      </c>
      <c r="L4" s="25">
        <f t="shared" ref="L4:L5" si="1">30-K4</f>
        <v>26</v>
      </c>
    </row>
    <row r="5">
      <c r="A5" s="22" t="s">
        <v>18</v>
      </c>
      <c r="B5" s="22" t="s">
        <v>18</v>
      </c>
      <c r="C5" s="22" t="s">
        <v>34</v>
      </c>
      <c r="D5" s="22" t="s">
        <v>34</v>
      </c>
      <c r="E5" s="23">
        <v>1.0</v>
      </c>
      <c r="F5" s="23">
        <v>0.568019</v>
      </c>
      <c r="H5" s="22" t="s">
        <v>24</v>
      </c>
      <c r="J5" s="25">
        <f>average(F28:F54)</f>
        <v>0.7422641111</v>
      </c>
      <c r="K5" s="24">
        <v>3.0</v>
      </c>
      <c r="L5" s="25">
        <f t="shared" si="1"/>
        <v>27</v>
      </c>
    </row>
    <row r="6">
      <c r="A6" s="22" t="s">
        <v>18</v>
      </c>
      <c r="B6" s="22" t="s">
        <v>18</v>
      </c>
      <c r="C6" s="22" t="s">
        <v>34</v>
      </c>
      <c r="D6" s="22" t="s">
        <v>34</v>
      </c>
      <c r="E6" s="23">
        <v>1.0</v>
      </c>
      <c r="F6" s="23">
        <v>1.833241</v>
      </c>
      <c r="H6" s="22" t="s">
        <v>25</v>
      </c>
      <c r="J6" s="25">
        <f>average(J7:J8)</f>
        <v>0.9122244708</v>
      </c>
      <c r="K6" s="24">
        <v>5.0</v>
      </c>
      <c r="L6" s="25">
        <f>60-K6</f>
        <v>55</v>
      </c>
    </row>
    <row r="7">
      <c r="A7" s="22" t="s">
        <v>18</v>
      </c>
      <c r="B7" s="22" t="s">
        <v>18</v>
      </c>
      <c r="C7" s="22" t="s">
        <v>34</v>
      </c>
      <c r="D7" s="22" t="s">
        <v>34</v>
      </c>
      <c r="E7" s="23">
        <v>1.0</v>
      </c>
      <c r="F7" s="23">
        <v>0.586381</v>
      </c>
      <c r="H7" s="22" t="s">
        <v>26</v>
      </c>
      <c r="J7" s="25">
        <f>average(F81:F109)</f>
        <v>0.9157921724</v>
      </c>
      <c r="K7" s="24">
        <v>1.0</v>
      </c>
      <c r="L7" s="25">
        <f t="shared" ref="L7:L8" si="2">30-K7</f>
        <v>29</v>
      </c>
    </row>
    <row r="8">
      <c r="A8" s="22" t="s">
        <v>18</v>
      </c>
      <c r="B8" s="22" t="s">
        <v>18</v>
      </c>
      <c r="C8" s="22" t="s">
        <v>34</v>
      </c>
      <c r="D8" s="22" t="s">
        <v>34</v>
      </c>
      <c r="E8" s="23">
        <v>1.0</v>
      </c>
      <c r="F8" s="23">
        <v>0.460322</v>
      </c>
      <c r="H8" s="22" t="s">
        <v>27</v>
      </c>
      <c r="J8" s="25">
        <f>average(F2:F27)</f>
        <v>0.9086567692</v>
      </c>
      <c r="K8" s="24">
        <v>4.0</v>
      </c>
      <c r="L8" s="25">
        <f t="shared" si="2"/>
        <v>26</v>
      </c>
    </row>
    <row r="9">
      <c r="A9" s="22" t="s">
        <v>18</v>
      </c>
      <c r="B9" s="22" t="s">
        <v>18</v>
      </c>
      <c r="C9" s="22" t="s">
        <v>34</v>
      </c>
      <c r="D9" s="22" t="s">
        <v>34</v>
      </c>
      <c r="E9" s="23">
        <v>1.0</v>
      </c>
      <c r="F9" s="23">
        <v>1.239829</v>
      </c>
    </row>
    <row r="10">
      <c r="A10" s="22" t="s">
        <v>18</v>
      </c>
      <c r="B10" s="22" t="s">
        <v>18</v>
      </c>
      <c r="C10" s="22" t="s">
        <v>34</v>
      </c>
      <c r="D10" s="22" t="s">
        <v>34</v>
      </c>
      <c r="E10" s="23">
        <v>1.0</v>
      </c>
      <c r="F10" s="23">
        <v>0.812223</v>
      </c>
      <c r="H10" s="24" t="s">
        <v>12</v>
      </c>
      <c r="I10" s="24" t="s">
        <v>37</v>
      </c>
      <c r="J10" s="24" t="s">
        <v>38</v>
      </c>
    </row>
    <row r="11">
      <c r="A11" s="22" t="s">
        <v>18</v>
      </c>
      <c r="B11" s="22" t="s">
        <v>18</v>
      </c>
      <c r="C11" s="22" t="s">
        <v>34</v>
      </c>
      <c r="D11" s="22" t="s">
        <v>34</v>
      </c>
      <c r="E11" s="23">
        <v>1.0</v>
      </c>
      <c r="F11" s="23">
        <v>0.70438</v>
      </c>
      <c r="H11" s="24" t="s">
        <v>13</v>
      </c>
      <c r="I11" s="24" t="s">
        <v>39</v>
      </c>
      <c r="J11" s="24" t="s">
        <v>40</v>
      </c>
    </row>
    <row r="12">
      <c r="A12" s="22" t="s">
        <v>18</v>
      </c>
      <c r="B12" s="22" t="s">
        <v>18</v>
      </c>
      <c r="C12" s="22" t="s">
        <v>34</v>
      </c>
      <c r="D12" s="22" t="s">
        <v>34</v>
      </c>
      <c r="E12" s="23">
        <v>1.0</v>
      </c>
      <c r="F12" s="23">
        <v>0.825845</v>
      </c>
    </row>
    <row r="13">
      <c r="A13" s="22" t="s">
        <v>18</v>
      </c>
      <c r="B13" s="22" t="s">
        <v>18</v>
      </c>
      <c r="C13" s="22" t="s">
        <v>34</v>
      </c>
      <c r="D13" s="22" t="s">
        <v>34</v>
      </c>
      <c r="E13" s="23">
        <v>1.0</v>
      </c>
      <c r="F13" s="23">
        <v>0.637665</v>
      </c>
      <c r="I13" s="24" t="s">
        <v>28</v>
      </c>
      <c r="J13" s="24" t="s">
        <v>29</v>
      </c>
    </row>
    <row r="14">
      <c r="A14" s="22" t="s">
        <v>18</v>
      </c>
      <c r="B14" s="22" t="s">
        <v>18</v>
      </c>
      <c r="C14" s="22" t="s">
        <v>34</v>
      </c>
      <c r="D14" s="22" t="s">
        <v>34</v>
      </c>
      <c r="E14" s="23">
        <v>1.0</v>
      </c>
      <c r="F14" s="23">
        <v>1.816624</v>
      </c>
      <c r="H14" s="24" t="s">
        <v>30</v>
      </c>
      <c r="I14" s="25">
        <f>J4</f>
        <v>0.9900522692</v>
      </c>
      <c r="J14" s="25">
        <f>J7</f>
        <v>0.9157921724</v>
      </c>
    </row>
    <row r="15">
      <c r="A15" s="22" t="s">
        <v>18</v>
      </c>
      <c r="B15" s="22" t="s">
        <v>18</v>
      </c>
      <c r="C15" s="22" t="s">
        <v>34</v>
      </c>
      <c r="D15" s="22" t="s">
        <v>34</v>
      </c>
      <c r="E15" s="23">
        <v>1.0</v>
      </c>
      <c r="F15" s="23">
        <v>1.654674</v>
      </c>
      <c r="H15" s="24" t="s">
        <v>31</v>
      </c>
      <c r="I15" s="25">
        <f>J8</f>
        <v>0.9086567692</v>
      </c>
      <c r="J15" s="25">
        <f>J5</f>
        <v>0.7422641111</v>
      </c>
    </row>
    <row r="16">
      <c r="A16" s="22" t="s">
        <v>18</v>
      </c>
      <c r="B16" s="22" t="s">
        <v>18</v>
      </c>
      <c r="C16" s="22" t="s">
        <v>34</v>
      </c>
      <c r="D16" s="22" t="s">
        <v>34</v>
      </c>
      <c r="E16" s="23">
        <v>1.0</v>
      </c>
      <c r="F16" s="23">
        <v>0.512232</v>
      </c>
      <c r="H16" s="24" t="s">
        <v>32</v>
      </c>
    </row>
    <row r="17">
      <c r="A17" s="22" t="s">
        <v>18</v>
      </c>
      <c r="B17" s="22" t="s">
        <v>18</v>
      </c>
      <c r="C17" s="22" t="s">
        <v>34</v>
      </c>
      <c r="D17" s="22" t="s">
        <v>34</v>
      </c>
      <c r="E17" s="23">
        <v>1.0</v>
      </c>
      <c r="F17" s="23">
        <v>0.60543</v>
      </c>
      <c r="H17" s="22" t="s">
        <v>22</v>
      </c>
      <c r="J17" s="25">
        <f>L3/60*100</f>
        <v>88.33333333</v>
      </c>
    </row>
    <row r="18">
      <c r="A18" s="22" t="s">
        <v>18</v>
      </c>
      <c r="B18" s="22" t="s">
        <v>18</v>
      </c>
      <c r="C18" s="22" t="s">
        <v>34</v>
      </c>
      <c r="D18" s="22" t="s">
        <v>34</v>
      </c>
      <c r="E18" s="23">
        <v>1.0</v>
      </c>
      <c r="F18" s="23">
        <v>0.619352</v>
      </c>
      <c r="H18" s="22" t="s">
        <v>23</v>
      </c>
      <c r="J18" s="25">
        <f t="shared" ref="J18:J19" si="3">L4/30*100</f>
        <v>86.66666667</v>
      </c>
    </row>
    <row r="19">
      <c r="A19" s="22" t="s">
        <v>18</v>
      </c>
      <c r="B19" s="22" t="s">
        <v>18</v>
      </c>
      <c r="C19" s="22" t="s">
        <v>34</v>
      </c>
      <c r="D19" s="22" t="s">
        <v>34</v>
      </c>
      <c r="E19" s="23">
        <v>1.0</v>
      </c>
      <c r="F19" s="23">
        <v>0.84009</v>
      </c>
      <c r="H19" s="22" t="s">
        <v>24</v>
      </c>
      <c r="J19" s="25">
        <f t="shared" si="3"/>
        <v>90</v>
      </c>
    </row>
    <row r="20">
      <c r="A20" s="22" t="s">
        <v>18</v>
      </c>
      <c r="B20" s="22" t="s">
        <v>18</v>
      </c>
      <c r="C20" s="22" t="s">
        <v>34</v>
      </c>
      <c r="D20" s="22" t="s">
        <v>34</v>
      </c>
      <c r="E20" s="23">
        <v>1.0</v>
      </c>
      <c r="F20" s="23">
        <v>0.514651</v>
      </c>
      <c r="H20" s="22" t="s">
        <v>25</v>
      </c>
      <c r="J20" s="25">
        <f>L6/60*100</f>
        <v>91.66666667</v>
      </c>
    </row>
    <row r="21">
      <c r="A21" s="22" t="s">
        <v>18</v>
      </c>
      <c r="B21" s="22" t="s">
        <v>18</v>
      </c>
      <c r="C21" s="22" t="s">
        <v>34</v>
      </c>
      <c r="D21" s="22" t="s">
        <v>34</v>
      </c>
      <c r="E21" s="23">
        <v>1.0</v>
      </c>
      <c r="F21" s="23">
        <v>0.410726</v>
      </c>
      <c r="H21" s="22" t="s">
        <v>26</v>
      </c>
      <c r="J21" s="25">
        <f t="shared" ref="J21:J22" si="4">L7/30*100</f>
        <v>96.66666667</v>
      </c>
    </row>
    <row r="22">
      <c r="A22" s="22" t="s">
        <v>18</v>
      </c>
      <c r="B22" s="22" t="s">
        <v>18</v>
      </c>
      <c r="C22" s="22" t="s">
        <v>34</v>
      </c>
      <c r="D22" s="22" t="s">
        <v>34</v>
      </c>
      <c r="E22" s="23">
        <v>1.0</v>
      </c>
      <c r="F22" s="23">
        <v>0.60167</v>
      </c>
      <c r="H22" s="22" t="s">
        <v>27</v>
      </c>
      <c r="J22" s="25">
        <f t="shared" si="4"/>
        <v>86.66666667</v>
      </c>
    </row>
    <row r="23">
      <c r="A23" s="22" t="s">
        <v>18</v>
      </c>
      <c r="B23" s="22" t="s">
        <v>18</v>
      </c>
      <c r="C23" s="22" t="s">
        <v>34</v>
      </c>
      <c r="D23" s="22" t="s">
        <v>34</v>
      </c>
      <c r="E23" s="23">
        <v>1.0</v>
      </c>
      <c r="F23" s="23">
        <v>1.423596</v>
      </c>
    </row>
    <row r="24">
      <c r="A24" s="22" t="s">
        <v>18</v>
      </c>
      <c r="B24" s="22" t="s">
        <v>18</v>
      </c>
      <c r="C24" s="22" t="s">
        <v>34</v>
      </c>
      <c r="D24" s="22" t="s">
        <v>34</v>
      </c>
      <c r="E24" s="23">
        <v>1.0</v>
      </c>
      <c r="F24" s="23">
        <v>0.824671</v>
      </c>
    </row>
    <row r="25">
      <c r="A25" s="22" t="s">
        <v>18</v>
      </c>
      <c r="B25" s="22" t="s">
        <v>18</v>
      </c>
      <c r="C25" s="22" t="s">
        <v>34</v>
      </c>
      <c r="D25" s="22" t="s">
        <v>34</v>
      </c>
      <c r="E25" s="23">
        <v>1.0</v>
      </c>
      <c r="F25" s="23">
        <v>2.025629</v>
      </c>
    </row>
    <row r="26">
      <c r="A26" s="22" t="s">
        <v>18</v>
      </c>
      <c r="B26" s="22" t="s">
        <v>18</v>
      </c>
      <c r="C26" s="22" t="s">
        <v>34</v>
      </c>
      <c r="D26" s="22" t="s">
        <v>34</v>
      </c>
      <c r="E26" s="23">
        <v>1.0</v>
      </c>
      <c r="F26" s="23">
        <v>0.446029</v>
      </c>
    </row>
    <row r="27">
      <c r="A27" s="22" t="s">
        <v>18</v>
      </c>
      <c r="B27" s="22" t="s">
        <v>18</v>
      </c>
      <c r="C27" s="22" t="s">
        <v>34</v>
      </c>
      <c r="D27" s="22" t="s">
        <v>34</v>
      </c>
      <c r="E27" s="23">
        <v>1.0</v>
      </c>
      <c r="F27" s="23">
        <v>0.818802</v>
      </c>
    </row>
    <row r="28">
      <c r="A28" s="22" t="s">
        <v>18</v>
      </c>
      <c r="B28" s="22" t="s">
        <v>33</v>
      </c>
      <c r="C28" s="22" t="s">
        <v>19</v>
      </c>
      <c r="D28" s="22" t="s">
        <v>34</v>
      </c>
      <c r="E28" s="23">
        <v>1.0</v>
      </c>
      <c r="F28" s="23">
        <v>0.532812</v>
      </c>
    </row>
    <row r="29">
      <c r="A29" s="22" t="s">
        <v>18</v>
      </c>
      <c r="B29" s="22" t="s">
        <v>33</v>
      </c>
      <c r="C29" s="22" t="s">
        <v>19</v>
      </c>
      <c r="D29" s="22" t="s">
        <v>34</v>
      </c>
      <c r="E29" s="23">
        <v>1.0</v>
      </c>
      <c r="F29" s="23">
        <v>0.673464</v>
      </c>
    </row>
    <row r="30">
      <c r="A30" s="22" t="s">
        <v>18</v>
      </c>
      <c r="B30" s="22" t="s">
        <v>33</v>
      </c>
      <c r="C30" s="22" t="s">
        <v>19</v>
      </c>
      <c r="D30" s="22" t="s">
        <v>34</v>
      </c>
      <c r="E30" s="23">
        <v>1.0</v>
      </c>
      <c r="F30" s="23">
        <v>1.037989</v>
      </c>
    </row>
    <row r="31">
      <c r="A31" s="22" t="s">
        <v>18</v>
      </c>
      <c r="B31" s="22" t="s">
        <v>33</v>
      </c>
      <c r="C31" s="22" t="s">
        <v>19</v>
      </c>
      <c r="D31" s="22" t="s">
        <v>34</v>
      </c>
      <c r="E31" s="23">
        <v>1.0</v>
      </c>
      <c r="F31" s="23">
        <v>0.720687</v>
      </c>
    </row>
    <row r="32">
      <c r="A32" s="22" t="s">
        <v>18</v>
      </c>
      <c r="B32" s="22" t="s">
        <v>33</v>
      </c>
      <c r="C32" s="22" t="s">
        <v>19</v>
      </c>
      <c r="D32" s="22" t="s">
        <v>34</v>
      </c>
      <c r="E32" s="23">
        <v>1.0</v>
      </c>
      <c r="F32" s="23">
        <v>0.713024</v>
      </c>
    </row>
    <row r="33">
      <c r="A33" s="22" t="s">
        <v>18</v>
      </c>
      <c r="B33" s="22" t="s">
        <v>33</v>
      </c>
      <c r="C33" s="22" t="s">
        <v>19</v>
      </c>
      <c r="D33" s="22" t="s">
        <v>34</v>
      </c>
      <c r="E33" s="23">
        <v>1.0</v>
      </c>
      <c r="F33" s="23">
        <v>1.225907</v>
      </c>
    </row>
    <row r="34">
      <c r="A34" s="22" t="s">
        <v>18</v>
      </c>
      <c r="B34" s="22" t="s">
        <v>33</v>
      </c>
      <c r="C34" s="22" t="s">
        <v>19</v>
      </c>
      <c r="D34" s="22" t="s">
        <v>34</v>
      </c>
      <c r="E34" s="23">
        <v>1.0</v>
      </c>
      <c r="F34" s="23">
        <v>0.50583</v>
      </c>
    </row>
    <row r="35">
      <c r="A35" s="22" t="s">
        <v>18</v>
      </c>
      <c r="B35" s="22" t="s">
        <v>33</v>
      </c>
      <c r="C35" s="22" t="s">
        <v>19</v>
      </c>
      <c r="D35" s="22" t="s">
        <v>34</v>
      </c>
      <c r="E35" s="23">
        <v>1.0</v>
      </c>
      <c r="F35" s="23">
        <v>0.655915</v>
      </c>
    </row>
    <row r="36">
      <c r="A36" s="22" t="s">
        <v>18</v>
      </c>
      <c r="B36" s="22" t="s">
        <v>33</v>
      </c>
      <c r="C36" s="22" t="s">
        <v>19</v>
      </c>
      <c r="D36" s="22" t="s">
        <v>34</v>
      </c>
      <c r="E36" s="23">
        <v>1.0</v>
      </c>
      <c r="F36" s="23">
        <v>1.780137</v>
      </c>
    </row>
    <row r="37">
      <c r="A37" s="22" t="s">
        <v>18</v>
      </c>
      <c r="B37" s="22" t="s">
        <v>33</v>
      </c>
      <c r="C37" s="22" t="s">
        <v>19</v>
      </c>
      <c r="D37" s="22" t="s">
        <v>34</v>
      </c>
      <c r="E37" s="23">
        <v>1.0</v>
      </c>
      <c r="F37" s="23">
        <v>0.687017</v>
      </c>
    </row>
    <row r="38">
      <c r="A38" s="22" t="s">
        <v>18</v>
      </c>
      <c r="B38" s="22" t="s">
        <v>33</v>
      </c>
      <c r="C38" s="22" t="s">
        <v>19</v>
      </c>
      <c r="D38" s="22" t="s">
        <v>34</v>
      </c>
      <c r="E38" s="23">
        <v>1.0</v>
      </c>
      <c r="F38" s="23">
        <v>0.758279</v>
      </c>
    </row>
    <row r="39">
      <c r="A39" s="22" t="s">
        <v>18</v>
      </c>
      <c r="B39" s="22" t="s">
        <v>33</v>
      </c>
      <c r="C39" s="22" t="s">
        <v>19</v>
      </c>
      <c r="D39" s="22" t="s">
        <v>34</v>
      </c>
      <c r="E39" s="23">
        <v>1.0</v>
      </c>
      <c r="F39" s="23">
        <v>0.558992</v>
      </c>
    </row>
    <row r="40">
      <c r="A40" s="22" t="s">
        <v>18</v>
      </c>
      <c r="B40" s="22" t="s">
        <v>33</v>
      </c>
      <c r="C40" s="22" t="s">
        <v>19</v>
      </c>
      <c r="D40" s="22" t="s">
        <v>34</v>
      </c>
      <c r="E40" s="23">
        <v>1.0</v>
      </c>
      <c r="F40" s="23">
        <v>0.503156</v>
      </c>
    </row>
    <row r="41">
      <c r="A41" s="22" t="s">
        <v>18</v>
      </c>
      <c r="B41" s="22" t="s">
        <v>33</v>
      </c>
      <c r="C41" s="22" t="s">
        <v>19</v>
      </c>
      <c r="D41" s="22" t="s">
        <v>34</v>
      </c>
      <c r="E41" s="23">
        <v>1.0</v>
      </c>
      <c r="F41" s="23">
        <v>0.883331</v>
      </c>
    </row>
    <row r="42">
      <c r="A42" s="22" t="s">
        <v>18</v>
      </c>
      <c r="B42" s="22" t="s">
        <v>33</v>
      </c>
      <c r="C42" s="22" t="s">
        <v>19</v>
      </c>
      <c r="D42" s="22" t="s">
        <v>34</v>
      </c>
      <c r="E42" s="23">
        <v>1.0</v>
      </c>
      <c r="F42" s="23">
        <v>0.688564</v>
      </c>
    </row>
    <row r="43">
      <c r="A43" s="22" t="s">
        <v>18</v>
      </c>
      <c r="B43" s="22" t="s">
        <v>33</v>
      </c>
      <c r="C43" s="22" t="s">
        <v>19</v>
      </c>
      <c r="D43" s="22" t="s">
        <v>34</v>
      </c>
      <c r="E43" s="23">
        <v>1.0</v>
      </c>
      <c r="F43" s="23">
        <v>0.534315</v>
      </c>
    </row>
    <row r="44">
      <c r="A44" s="22" t="s">
        <v>18</v>
      </c>
      <c r="B44" s="22" t="s">
        <v>33</v>
      </c>
      <c r="C44" s="22" t="s">
        <v>19</v>
      </c>
      <c r="D44" s="22" t="s">
        <v>34</v>
      </c>
      <c r="E44" s="23">
        <v>1.0</v>
      </c>
      <c r="F44" s="23">
        <v>0.52755</v>
      </c>
    </row>
    <row r="45">
      <c r="A45" s="22" t="s">
        <v>18</v>
      </c>
      <c r="B45" s="22" t="s">
        <v>33</v>
      </c>
      <c r="C45" s="22" t="s">
        <v>19</v>
      </c>
      <c r="D45" s="22" t="s">
        <v>34</v>
      </c>
      <c r="E45" s="23">
        <v>1.0</v>
      </c>
      <c r="F45" s="23">
        <v>0.80126</v>
      </c>
    </row>
    <row r="46">
      <c r="A46" s="22" t="s">
        <v>18</v>
      </c>
      <c r="B46" s="22" t="s">
        <v>33</v>
      </c>
      <c r="C46" s="22" t="s">
        <v>19</v>
      </c>
      <c r="D46" s="22" t="s">
        <v>34</v>
      </c>
      <c r="E46" s="23">
        <v>1.0</v>
      </c>
      <c r="F46" s="23">
        <v>0.72117</v>
      </c>
    </row>
    <row r="47">
      <c r="A47" s="22" t="s">
        <v>18</v>
      </c>
      <c r="B47" s="22" t="s">
        <v>33</v>
      </c>
      <c r="C47" s="22" t="s">
        <v>19</v>
      </c>
      <c r="D47" s="22" t="s">
        <v>34</v>
      </c>
      <c r="E47" s="23">
        <v>1.0</v>
      </c>
      <c r="F47" s="23">
        <v>0.625913</v>
      </c>
    </row>
    <row r="48">
      <c r="A48" s="22" t="s">
        <v>18</v>
      </c>
      <c r="B48" s="22" t="s">
        <v>33</v>
      </c>
      <c r="C48" s="22" t="s">
        <v>19</v>
      </c>
      <c r="D48" s="22" t="s">
        <v>34</v>
      </c>
      <c r="E48" s="23">
        <v>1.0</v>
      </c>
      <c r="F48" s="23">
        <v>0.68217</v>
      </c>
    </row>
    <row r="49">
      <c r="A49" s="22" t="s">
        <v>18</v>
      </c>
      <c r="B49" s="22" t="s">
        <v>33</v>
      </c>
      <c r="C49" s="22" t="s">
        <v>19</v>
      </c>
      <c r="D49" s="22" t="s">
        <v>34</v>
      </c>
      <c r="E49" s="23">
        <v>1.0</v>
      </c>
      <c r="F49" s="23">
        <v>0.532394</v>
      </c>
    </row>
    <row r="50">
      <c r="A50" s="22" t="s">
        <v>18</v>
      </c>
      <c r="B50" s="22" t="s">
        <v>33</v>
      </c>
      <c r="C50" s="22" t="s">
        <v>19</v>
      </c>
      <c r="D50" s="22" t="s">
        <v>34</v>
      </c>
      <c r="E50" s="23">
        <v>1.0</v>
      </c>
      <c r="F50" s="23">
        <v>0.855772</v>
      </c>
    </row>
    <row r="51">
      <c r="A51" s="22" t="s">
        <v>18</v>
      </c>
      <c r="B51" s="22" t="s">
        <v>33</v>
      </c>
      <c r="C51" s="22" t="s">
        <v>19</v>
      </c>
      <c r="D51" s="22" t="s">
        <v>34</v>
      </c>
      <c r="E51" s="23">
        <v>1.0</v>
      </c>
      <c r="F51" s="23">
        <v>0.906916</v>
      </c>
    </row>
    <row r="52">
      <c r="A52" s="22" t="s">
        <v>18</v>
      </c>
      <c r="B52" s="22" t="s">
        <v>33</v>
      </c>
      <c r="C52" s="22" t="s">
        <v>19</v>
      </c>
      <c r="D52" s="22" t="s">
        <v>34</v>
      </c>
      <c r="E52" s="23">
        <v>1.0</v>
      </c>
      <c r="F52" s="23">
        <v>0.572556</v>
      </c>
    </row>
    <row r="53">
      <c r="A53" s="22" t="s">
        <v>18</v>
      </c>
      <c r="B53" s="22" t="s">
        <v>33</v>
      </c>
      <c r="C53" s="22" t="s">
        <v>19</v>
      </c>
      <c r="D53" s="22" t="s">
        <v>34</v>
      </c>
      <c r="E53" s="23">
        <v>1.0</v>
      </c>
      <c r="F53" s="23">
        <v>0.582331</v>
      </c>
    </row>
    <row r="54">
      <c r="A54" s="22" t="s">
        <v>18</v>
      </c>
      <c r="B54" s="22" t="s">
        <v>33</v>
      </c>
      <c r="C54" s="22" t="s">
        <v>19</v>
      </c>
      <c r="D54" s="22" t="s">
        <v>34</v>
      </c>
      <c r="E54" s="23">
        <v>1.0</v>
      </c>
      <c r="F54" s="23">
        <v>0.77368</v>
      </c>
    </row>
    <row r="55">
      <c r="A55" s="22" t="s">
        <v>33</v>
      </c>
      <c r="B55" s="22" t="s">
        <v>18</v>
      </c>
      <c r="C55" s="22" t="s">
        <v>19</v>
      </c>
      <c r="D55" s="22" t="s">
        <v>34</v>
      </c>
      <c r="E55" s="23">
        <v>1.0</v>
      </c>
      <c r="F55" s="23">
        <v>1.243168</v>
      </c>
    </row>
    <row r="56">
      <c r="A56" s="22" t="s">
        <v>33</v>
      </c>
      <c r="B56" s="22" t="s">
        <v>18</v>
      </c>
      <c r="C56" s="22" t="s">
        <v>19</v>
      </c>
      <c r="D56" s="22" t="s">
        <v>34</v>
      </c>
      <c r="E56" s="23">
        <v>1.0</v>
      </c>
      <c r="F56" s="23">
        <v>0.580188</v>
      </c>
    </row>
    <row r="57">
      <c r="A57" s="22" t="s">
        <v>33</v>
      </c>
      <c r="B57" s="22" t="s">
        <v>18</v>
      </c>
      <c r="C57" s="22" t="s">
        <v>19</v>
      </c>
      <c r="D57" s="22" t="s">
        <v>34</v>
      </c>
      <c r="E57" s="23">
        <v>1.0</v>
      </c>
      <c r="F57" s="23">
        <v>1.465868</v>
      </c>
    </row>
    <row r="58">
      <c r="A58" s="22" t="s">
        <v>33</v>
      </c>
      <c r="B58" s="22" t="s">
        <v>18</v>
      </c>
      <c r="C58" s="22" t="s">
        <v>19</v>
      </c>
      <c r="D58" s="22" t="s">
        <v>34</v>
      </c>
      <c r="E58" s="23">
        <v>1.0</v>
      </c>
      <c r="F58" s="23">
        <v>1.341805</v>
      </c>
    </row>
    <row r="59">
      <c r="A59" s="22" t="s">
        <v>33</v>
      </c>
      <c r="B59" s="22" t="s">
        <v>18</v>
      </c>
      <c r="C59" s="22" t="s">
        <v>19</v>
      </c>
      <c r="D59" s="22" t="s">
        <v>34</v>
      </c>
      <c r="E59" s="23">
        <v>1.0</v>
      </c>
      <c r="F59" s="23">
        <v>2.009292</v>
      </c>
    </row>
    <row r="60">
      <c r="A60" s="22" t="s">
        <v>33</v>
      </c>
      <c r="B60" s="22" t="s">
        <v>18</v>
      </c>
      <c r="C60" s="22" t="s">
        <v>19</v>
      </c>
      <c r="D60" s="22" t="s">
        <v>34</v>
      </c>
      <c r="E60" s="23">
        <v>1.0</v>
      </c>
      <c r="F60" s="23">
        <v>0.671915</v>
      </c>
    </row>
    <row r="61">
      <c r="A61" s="22" t="s">
        <v>33</v>
      </c>
      <c r="B61" s="22" t="s">
        <v>18</v>
      </c>
      <c r="C61" s="22" t="s">
        <v>19</v>
      </c>
      <c r="D61" s="22" t="s">
        <v>34</v>
      </c>
      <c r="E61" s="23">
        <v>1.0</v>
      </c>
      <c r="F61" s="23">
        <v>0.592009</v>
      </c>
    </row>
    <row r="62">
      <c r="A62" s="22" t="s">
        <v>33</v>
      </c>
      <c r="B62" s="22" t="s">
        <v>18</v>
      </c>
      <c r="C62" s="22" t="s">
        <v>19</v>
      </c>
      <c r="D62" s="22" t="s">
        <v>34</v>
      </c>
      <c r="E62" s="23">
        <v>1.0</v>
      </c>
      <c r="F62" s="23">
        <v>0.574489</v>
      </c>
    </row>
    <row r="63">
      <c r="A63" s="22" t="s">
        <v>33</v>
      </c>
      <c r="B63" s="22" t="s">
        <v>18</v>
      </c>
      <c r="C63" s="22" t="s">
        <v>19</v>
      </c>
      <c r="D63" s="22" t="s">
        <v>34</v>
      </c>
      <c r="E63" s="23">
        <v>1.0</v>
      </c>
      <c r="F63" s="23">
        <v>2.120109</v>
      </c>
    </row>
    <row r="64">
      <c r="A64" s="22" t="s">
        <v>33</v>
      </c>
      <c r="B64" s="22" t="s">
        <v>18</v>
      </c>
      <c r="C64" s="22" t="s">
        <v>19</v>
      </c>
      <c r="D64" s="22" t="s">
        <v>34</v>
      </c>
      <c r="E64" s="23">
        <v>1.0</v>
      </c>
      <c r="F64" s="23">
        <v>2.766545</v>
      </c>
    </row>
    <row r="65">
      <c r="A65" s="22" t="s">
        <v>33</v>
      </c>
      <c r="B65" s="22" t="s">
        <v>18</v>
      </c>
      <c r="C65" s="22" t="s">
        <v>19</v>
      </c>
      <c r="D65" s="22" t="s">
        <v>34</v>
      </c>
      <c r="E65" s="23">
        <v>1.0</v>
      </c>
      <c r="F65" s="23">
        <v>0.582056</v>
      </c>
    </row>
    <row r="66">
      <c r="A66" s="22" t="s">
        <v>33</v>
      </c>
      <c r="B66" s="22" t="s">
        <v>18</v>
      </c>
      <c r="C66" s="22" t="s">
        <v>19</v>
      </c>
      <c r="D66" s="22" t="s">
        <v>34</v>
      </c>
      <c r="E66" s="23">
        <v>1.0</v>
      </c>
      <c r="F66" s="23">
        <v>0.719571</v>
      </c>
    </row>
    <row r="67">
      <c r="A67" s="22" t="s">
        <v>33</v>
      </c>
      <c r="B67" s="22" t="s">
        <v>18</v>
      </c>
      <c r="C67" s="22" t="s">
        <v>19</v>
      </c>
      <c r="D67" s="22" t="s">
        <v>34</v>
      </c>
      <c r="E67" s="23">
        <v>1.0</v>
      </c>
      <c r="F67" s="23">
        <v>1.2998</v>
      </c>
    </row>
    <row r="68">
      <c r="A68" s="22" t="s">
        <v>33</v>
      </c>
      <c r="B68" s="22" t="s">
        <v>18</v>
      </c>
      <c r="C68" s="22" t="s">
        <v>19</v>
      </c>
      <c r="D68" s="22" t="s">
        <v>34</v>
      </c>
      <c r="E68" s="23">
        <v>1.0</v>
      </c>
      <c r="F68" s="23">
        <v>0.565727</v>
      </c>
    </row>
    <row r="69">
      <c r="A69" s="22" t="s">
        <v>33</v>
      </c>
      <c r="B69" s="22" t="s">
        <v>18</v>
      </c>
      <c r="C69" s="22" t="s">
        <v>19</v>
      </c>
      <c r="D69" s="22" t="s">
        <v>34</v>
      </c>
      <c r="E69" s="23">
        <v>1.0</v>
      </c>
      <c r="F69" s="23">
        <v>0.504043</v>
      </c>
    </row>
    <row r="70">
      <c r="A70" s="22" t="s">
        <v>33</v>
      </c>
      <c r="B70" s="22" t="s">
        <v>18</v>
      </c>
      <c r="C70" s="22" t="s">
        <v>19</v>
      </c>
      <c r="D70" s="22" t="s">
        <v>34</v>
      </c>
      <c r="E70" s="23">
        <v>1.0</v>
      </c>
      <c r="F70" s="23">
        <v>0.49897</v>
      </c>
    </row>
    <row r="71">
      <c r="A71" s="22" t="s">
        <v>33</v>
      </c>
      <c r="B71" s="22" t="s">
        <v>18</v>
      </c>
      <c r="C71" s="22" t="s">
        <v>19</v>
      </c>
      <c r="D71" s="22" t="s">
        <v>34</v>
      </c>
      <c r="E71" s="23">
        <v>1.0</v>
      </c>
      <c r="F71" s="23">
        <v>0.716751</v>
      </c>
    </row>
    <row r="72">
      <c r="A72" s="22" t="s">
        <v>33</v>
      </c>
      <c r="B72" s="22" t="s">
        <v>18</v>
      </c>
      <c r="C72" s="22" t="s">
        <v>19</v>
      </c>
      <c r="D72" s="22" t="s">
        <v>34</v>
      </c>
      <c r="E72" s="23">
        <v>1.0</v>
      </c>
      <c r="F72" s="23">
        <v>2.39867</v>
      </c>
    </row>
    <row r="73">
      <c r="A73" s="22" t="s">
        <v>33</v>
      </c>
      <c r="B73" s="22" t="s">
        <v>18</v>
      </c>
      <c r="C73" s="22" t="s">
        <v>19</v>
      </c>
      <c r="D73" s="22" t="s">
        <v>34</v>
      </c>
      <c r="E73" s="23">
        <v>1.0</v>
      </c>
      <c r="F73" s="23">
        <v>0.548682</v>
      </c>
    </row>
    <row r="74">
      <c r="A74" s="22" t="s">
        <v>33</v>
      </c>
      <c r="B74" s="22" t="s">
        <v>18</v>
      </c>
      <c r="C74" s="22" t="s">
        <v>19</v>
      </c>
      <c r="D74" s="22" t="s">
        <v>34</v>
      </c>
      <c r="E74" s="23">
        <v>1.0</v>
      </c>
      <c r="F74" s="23">
        <v>0.602032</v>
      </c>
    </row>
    <row r="75">
      <c r="A75" s="22" t="s">
        <v>33</v>
      </c>
      <c r="B75" s="22" t="s">
        <v>18</v>
      </c>
      <c r="C75" s="22" t="s">
        <v>19</v>
      </c>
      <c r="D75" s="22" t="s">
        <v>34</v>
      </c>
      <c r="E75" s="23">
        <v>1.0</v>
      </c>
      <c r="F75" s="23">
        <v>0.556671</v>
      </c>
    </row>
    <row r="76">
      <c r="A76" s="22" t="s">
        <v>33</v>
      </c>
      <c r="B76" s="22" t="s">
        <v>18</v>
      </c>
      <c r="C76" s="22" t="s">
        <v>19</v>
      </c>
      <c r="D76" s="22" t="s">
        <v>34</v>
      </c>
      <c r="E76" s="23">
        <v>1.0</v>
      </c>
      <c r="F76" s="23">
        <v>1.156024</v>
      </c>
    </row>
    <row r="77">
      <c r="A77" s="22" t="s">
        <v>33</v>
      </c>
      <c r="B77" s="22" t="s">
        <v>18</v>
      </c>
      <c r="C77" s="22" t="s">
        <v>19</v>
      </c>
      <c r="D77" s="22" t="s">
        <v>34</v>
      </c>
      <c r="E77" s="23">
        <v>1.0</v>
      </c>
      <c r="F77" s="23">
        <v>0.599383</v>
      </c>
    </row>
    <row r="78">
      <c r="A78" s="22" t="s">
        <v>33</v>
      </c>
      <c r="B78" s="22" t="s">
        <v>18</v>
      </c>
      <c r="C78" s="22" t="s">
        <v>19</v>
      </c>
      <c r="D78" s="22" t="s">
        <v>34</v>
      </c>
      <c r="E78" s="23">
        <v>1.0</v>
      </c>
      <c r="F78" s="23">
        <v>0.548469</v>
      </c>
    </row>
    <row r="79">
      <c r="A79" s="22" t="s">
        <v>33</v>
      </c>
      <c r="B79" s="22" t="s">
        <v>18</v>
      </c>
      <c r="C79" s="22" t="s">
        <v>19</v>
      </c>
      <c r="D79" s="22" t="s">
        <v>34</v>
      </c>
      <c r="E79" s="23">
        <v>1.0</v>
      </c>
      <c r="F79" s="23">
        <v>0.596656</v>
      </c>
    </row>
    <row r="80">
      <c r="A80" s="22" t="s">
        <v>33</v>
      </c>
      <c r="B80" s="22" t="s">
        <v>18</v>
      </c>
      <c r="C80" s="22" t="s">
        <v>19</v>
      </c>
      <c r="D80" s="22" t="s">
        <v>34</v>
      </c>
      <c r="E80" s="23">
        <v>1.0</v>
      </c>
      <c r="F80" s="23">
        <v>0.482466</v>
      </c>
    </row>
    <row r="81">
      <c r="A81" s="22" t="s">
        <v>33</v>
      </c>
      <c r="B81" s="22" t="s">
        <v>33</v>
      </c>
      <c r="C81" s="22" t="s">
        <v>34</v>
      </c>
      <c r="D81" s="22" t="s">
        <v>34</v>
      </c>
      <c r="E81" s="23">
        <v>1.0</v>
      </c>
      <c r="F81" s="23">
        <v>0.400192</v>
      </c>
    </row>
    <row r="82">
      <c r="A82" s="22" t="s">
        <v>33</v>
      </c>
      <c r="B82" s="22" t="s">
        <v>33</v>
      </c>
      <c r="C82" s="22" t="s">
        <v>34</v>
      </c>
      <c r="D82" s="22" t="s">
        <v>34</v>
      </c>
      <c r="E82" s="23">
        <v>1.0</v>
      </c>
      <c r="F82" s="23">
        <v>2.517757</v>
      </c>
    </row>
    <row r="83">
      <c r="A83" s="22" t="s">
        <v>33</v>
      </c>
      <c r="B83" s="22" t="s">
        <v>33</v>
      </c>
      <c r="C83" s="22" t="s">
        <v>34</v>
      </c>
      <c r="D83" s="22" t="s">
        <v>34</v>
      </c>
      <c r="E83" s="23">
        <v>1.0</v>
      </c>
      <c r="F83" s="23">
        <v>0.444835</v>
      </c>
    </row>
    <row r="84">
      <c r="A84" s="22" t="s">
        <v>33</v>
      </c>
      <c r="B84" s="22" t="s">
        <v>33</v>
      </c>
      <c r="C84" s="22" t="s">
        <v>34</v>
      </c>
      <c r="D84" s="22" t="s">
        <v>34</v>
      </c>
      <c r="E84" s="23">
        <v>1.0</v>
      </c>
      <c r="F84" s="23">
        <v>1.072603</v>
      </c>
    </row>
    <row r="85">
      <c r="A85" s="22" t="s">
        <v>33</v>
      </c>
      <c r="B85" s="22" t="s">
        <v>33</v>
      </c>
      <c r="C85" s="22" t="s">
        <v>34</v>
      </c>
      <c r="D85" s="22" t="s">
        <v>34</v>
      </c>
      <c r="E85" s="23">
        <v>1.0</v>
      </c>
      <c r="F85" s="23">
        <v>1.637482</v>
      </c>
    </row>
    <row r="86">
      <c r="A86" s="22" t="s">
        <v>33</v>
      </c>
      <c r="B86" s="22" t="s">
        <v>33</v>
      </c>
      <c r="C86" s="22" t="s">
        <v>34</v>
      </c>
      <c r="D86" s="22" t="s">
        <v>34</v>
      </c>
      <c r="E86" s="23">
        <v>1.0</v>
      </c>
      <c r="F86" s="23">
        <v>0.525506</v>
      </c>
    </row>
    <row r="87">
      <c r="A87" s="22" t="s">
        <v>33</v>
      </c>
      <c r="B87" s="22" t="s">
        <v>33</v>
      </c>
      <c r="C87" s="22" t="s">
        <v>34</v>
      </c>
      <c r="D87" s="22" t="s">
        <v>34</v>
      </c>
      <c r="E87" s="23">
        <v>1.0</v>
      </c>
      <c r="F87" s="23">
        <v>0.616545</v>
      </c>
    </row>
    <row r="88">
      <c r="A88" s="22" t="s">
        <v>33</v>
      </c>
      <c r="B88" s="22" t="s">
        <v>33</v>
      </c>
      <c r="C88" s="22" t="s">
        <v>34</v>
      </c>
      <c r="D88" s="22" t="s">
        <v>34</v>
      </c>
      <c r="E88" s="23">
        <v>1.0</v>
      </c>
      <c r="F88" s="23">
        <v>1.506359</v>
      </c>
    </row>
    <row r="89">
      <c r="A89" s="22" t="s">
        <v>33</v>
      </c>
      <c r="B89" s="22" t="s">
        <v>33</v>
      </c>
      <c r="C89" s="22" t="s">
        <v>34</v>
      </c>
      <c r="D89" s="22" t="s">
        <v>34</v>
      </c>
      <c r="E89" s="23">
        <v>1.0</v>
      </c>
      <c r="F89" s="23">
        <v>0.82263</v>
      </c>
    </row>
    <row r="90">
      <c r="A90" s="22" t="s">
        <v>33</v>
      </c>
      <c r="B90" s="22" t="s">
        <v>33</v>
      </c>
      <c r="C90" s="22" t="s">
        <v>34</v>
      </c>
      <c r="D90" s="22" t="s">
        <v>34</v>
      </c>
      <c r="E90" s="23">
        <v>1.0</v>
      </c>
      <c r="F90" s="23">
        <v>0.503277</v>
      </c>
    </row>
    <row r="91">
      <c r="A91" s="22" t="s">
        <v>33</v>
      </c>
      <c r="B91" s="22" t="s">
        <v>33</v>
      </c>
      <c r="C91" s="22" t="s">
        <v>34</v>
      </c>
      <c r="D91" s="22" t="s">
        <v>34</v>
      </c>
      <c r="E91" s="23">
        <v>1.0</v>
      </c>
      <c r="F91" s="23">
        <v>0.509157</v>
      </c>
    </row>
    <row r="92">
      <c r="A92" s="22" t="s">
        <v>33</v>
      </c>
      <c r="B92" s="22" t="s">
        <v>33</v>
      </c>
      <c r="C92" s="22" t="s">
        <v>34</v>
      </c>
      <c r="D92" s="22" t="s">
        <v>34</v>
      </c>
      <c r="E92" s="23">
        <v>1.0</v>
      </c>
      <c r="F92" s="23">
        <v>0.40354</v>
      </c>
    </row>
    <row r="93">
      <c r="A93" s="22" t="s">
        <v>33</v>
      </c>
      <c r="B93" s="22" t="s">
        <v>33</v>
      </c>
      <c r="C93" s="22" t="s">
        <v>34</v>
      </c>
      <c r="D93" s="22" t="s">
        <v>34</v>
      </c>
      <c r="E93" s="23">
        <v>1.0</v>
      </c>
      <c r="F93" s="23">
        <v>0.497385</v>
      </c>
    </row>
    <row r="94">
      <c r="A94" s="22" t="s">
        <v>33</v>
      </c>
      <c r="B94" s="22" t="s">
        <v>33</v>
      </c>
      <c r="C94" s="22" t="s">
        <v>34</v>
      </c>
      <c r="D94" s="22" t="s">
        <v>34</v>
      </c>
      <c r="E94" s="23">
        <v>1.0</v>
      </c>
      <c r="F94" s="23">
        <v>0.612481</v>
      </c>
    </row>
    <row r="95">
      <c r="A95" s="22" t="s">
        <v>33</v>
      </c>
      <c r="B95" s="22" t="s">
        <v>33</v>
      </c>
      <c r="C95" s="22" t="s">
        <v>34</v>
      </c>
      <c r="D95" s="22" t="s">
        <v>34</v>
      </c>
      <c r="E95" s="23">
        <v>1.0</v>
      </c>
      <c r="F95" s="23">
        <v>0.88821</v>
      </c>
    </row>
    <row r="96">
      <c r="A96" s="22" t="s">
        <v>33</v>
      </c>
      <c r="B96" s="22" t="s">
        <v>33</v>
      </c>
      <c r="C96" s="22" t="s">
        <v>34</v>
      </c>
      <c r="D96" s="22" t="s">
        <v>34</v>
      </c>
      <c r="E96" s="23">
        <v>1.0</v>
      </c>
      <c r="F96" s="23">
        <v>0.559845</v>
      </c>
    </row>
    <row r="97">
      <c r="A97" s="22" t="s">
        <v>33</v>
      </c>
      <c r="B97" s="22" t="s">
        <v>33</v>
      </c>
      <c r="C97" s="22" t="s">
        <v>34</v>
      </c>
      <c r="D97" s="22" t="s">
        <v>34</v>
      </c>
      <c r="E97" s="23">
        <v>1.0</v>
      </c>
      <c r="F97" s="23">
        <v>0.599136</v>
      </c>
    </row>
    <row r="98">
      <c r="A98" s="22" t="s">
        <v>33</v>
      </c>
      <c r="B98" s="22" t="s">
        <v>33</v>
      </c>
      <c r="C98" s="22" t="s">
        <v>34</v>
      </c>
      <c r="D98" s="22" t="s">
        <v>34</v>
      </c>
      <c r="E98" s="23">
        <v>1.0</v>
      </c>
      <c r="F98" s="23">
        <v>0.70459</v>
      </c>
    </row>
    <row r="99">
      <c r="A99" s="22" t="s">
        <v>33</v>
      </c>
      <c r="B99" s="22" t="s">
        <v>33</v>
      </c>
      <c r="C99" s="22" t="s">
        <v>34</v>
      </c>
      <c r="D99" s="22" t="s">
        <v>34</v>
      </c>
      <c r="E99" s="23">
        <v>1.0</v>
      </c>
      <c r="F99" s="23">
        <v>0.59513</v>
      </c>
    </row>
    <row r="100">
      <c r="A100" s="22" t="s">
        <v>33</v>
      </c>
      <c r="B100" s="22" t="s">
        <v>33</v>
      </c>
      <c r="C100" s="22" t="s">
        <v>34</v>
      </c>
      <c r="D100" s="22" t="s">
        <v>34</v>
      </c>
      <c r="E100" s="23">
        <v>1.0</v>
      </c>
      <c r="F100" s="23">
        <v>4.076615</v>
      </c>
    </row>
    <row r="101">
      <c r="A101" s="22" t="s">
        <v>33</v>
      </c>
      <c r="B101" s="22" t="s">
        <v>33</v>
      </c>
      <c r="C101" s="22" t="s">
        <v>34</v>
      </c>
      <c r="D101" s="22" t="s">
        <v>34</v>
      </c>
      <c r="E101" s="23">
        <v>1.0</v>
      </c>
      <c r="F101" s="23">
        <v>0.60888</v>
      </c>
    </row>
    <row r="102">
      <c r="A102" s="22" t="s">
        <v>33</v>
      </c>
      <c r="B102" s="22" t="s">
        <v>33</v>
      </c>
      <c r="C102" s="22" t="s">
        <v>34</v>
      </c>
      <c r="D102" s="22" t="s">
        <v>34</v>
      </c>
      <c r="E102" s="23">
        <v>1.0</v>
      </c>
      <c r="F102" s="23">
        <v>1.379715</v>
      </c>
    </row>
    <row r="103">
      <c r="A103" s="22" t="s">
        <v>33</v>
      </c>
      <c r="B103" s="22" t="s">
        <v>33</v>
      </c>
      <c r="C103" s="22" t="s">
        <v>34</v>
      </c>
      <c r="D103" s="22" t="s">
        <v>34</v>
      </c>
      <c r="E103" s="23">
        <v>1.0</v>
      </c>
      <c r="F103" s="23">
        <v>1.3557</v>
      </c>
    </row>
    <row r="104">
      <c r="A104" s="22" t="s">
        <v>33</v>
      </c>
      <c r="B104" s="22" t="s">
        <v>33</v>
      </c>
      <c r="C104" s="22" t="s">
        <v>34</v>
      </c>
      <c r="D104" s="22" t="s">
        <v>34</v>
      </c>
      <c r="E104" s="23">
        <v>1.0</v>
      </c>
      <c r="F104" s="23">
        <v>0.619563</v>
      </c>
    </row>
    <row r="105">
      <c r="A105" s="22" t="s">
        <v>33</v>
      </c>
      <c r="B105" s="22" t="s">
        <v>33</v>
      </c>
      <c r="C105" s="22" t="s">
        <v>34</v>
      </c>
      <c r="D105" s="22" t="s">
        <v>34</v>
      </c>
      <c r="E105" s="23">
        <v>1.0</v>
      </c>
      <c r="F105" s="23">
        <v>0.890916</v>
      </c>
    </row>
    <row r="106">
      <c r="A106" s="22" t="s">
        <v>33</v>
      </c>
      <c r="B106" s="22" t="s">
        <v>33</v>
      </c>
      <c r="C106" s="22" t="s">
        <v>34</v>
      </c>
      <c r="D106" s="22" t="s">
        <v>34</v>
      </c>
      <c r="E106" s="23">
        <v>1.0</v>
      </c>
      <c r="F106" s="23">
        <v>0.486563</v>
      </c>
    </row>
    <row r="107">
      <c r="A107" s="22" t="s">
        <v>33</v>
      </c>
      <c r="B107" s="22" t="s">
        <v>33</v>
      </c>
      <c r="C107" s="22" t="s">
        <v>34</v>
      </c>
      <c r="D107" s="22" t="s">
        <v>34</v>
      </c>
      <c r="E107" s="23">
        <v>1.0</v>
      </c>
      <c r="F107" s="23">
        <v>0.647195</v>
      </c>
    </row>
    <row r="108">
      <c r="A108" s="22" t="s">
        <v>33</v>
      </c>
      <c r="B108" s="22" t="s">
        <v>33</v>
      </c>
      <c r="C108" s="22" t="s">
        <v>34</v>
      </c>
      <c r="D108" s="22" t="s">
        <v>34</v>
      </c>
      <c r="E108" s="23">
        <v>1.0</v>
      </c>
      <c r="F108" s="23">
        <v>0.51682</v>
      </c>
    </row>
    <row r="109">
      <c r="A109" s="22" t="s">
        <v>33</v>
      </c>
      <c r="B109" s="22" t="s">
        <v>33</v>
      </c>
      <c r="C109" s="22" t="s">
        <v>34</v>
      </c>
      <c r="D109" s="22" t="s">
        <v>34</v>
      </c>
      <c r="E109" s="23">
        <v>1.0</v>
      </c>
      <c r="F109" s="23">
        <v>0.559346</v>
      </c>
    </row>
  </sheetData>
  <autoFilter ref="$A$1:$F$109">
    <sortState ref="A1:F109">
      <sortCondition ref="A1:A109"/>
      <sortCondition ref="B1:B109"/>
      <sortCondition ref="C1:C109"/>
    </sortState>
  </autoFilter>
  <mergeCells count="12">
    <mergeCell ref="H17:I17"/>
    <mergeCell ref="H18:I18"/>
    <mergeCell ref="H20:I20"/>
    <mergeCell ref="H21:I21"/>
    <mergeCell ref="H22:I22"/>
    <mergeCell ref="H3:I3"/>
    <mergeCell ref="H4:I4"/>
    <mergeCell ref="H5:I5"/>
    <mergeCell ref="H7:I7"/>
    <mergeCell ref="H8:I8"/>
    <mergeCell ref="H19:I19"/>
    <mergeCell ref="H6:I6"/>
  </mergeCells>
  <drawing r:id="rId1"/>
</worksheet>
</file>